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javie\Desktop\Proyecto_control_ facturas\"/>
    </mc:Choice>
  </mc:AlternateContent>
  <xr:revisionPtr revIDLastSave="0" documentId="13_ncr:1_{6ACB91A9-F94B-4543-BBF3-B53847FDAB66}" xr6:coauthVersionLast="47" xr6:coauthVersionMax="47" xr10:uidLastSave="{00000000-0000-0000-0000-000000000000}"/>
  <bookViews>
    <workbookView xWindow="-108" yWindow="-108" windowWidth="23256" windowHeight="12456" firstSheet="3" activeTab="5" xr2:uid="{02EBC1C1-9DCB-4E49-86A7-43C5A2AFCD00}"/>
  </bookViews>
  <sheets>
    <sheet name="LEEME" sheetId="2" r:id="rId1"/>
    <sheet name="Hoja2" sheetId="10" r:id="rId2"/>
    <sheet name="Hoja3" sheetId="11" r:id="rId3"/>
    <sheet name="Hoja4" sheetId="12" r:id="rId4"/>
    <sheet name="INTRUCCIONES" sheetId="14" r:id="rId5"/>
    <sheet name="RESUMEN" sheetId="13" r:id="rId6"/>
    <sheet name="Control_Facturas" sheetId="9" r:id="rId7"/>
    <sheet name="Conteo_documentos" sheetId="8" r:id="rId8"/>
    <sheet name="Facturas_Consolidadas" sheetId="7" r:id="rId9"/>
    <sheet name="Facturas_Julio" sheetId="4" r:id="rId10"/>
    <sheet name="Proveedores" sheetId="5" r:id="rId11"/>
    <sheet name="Ordenes_Compra" sheetId="6" r:id="rId12"/>
    <sheet name="Hoja1" sheetId="1" r:id="rId13"/>
  </sheets>
  <definedNames>
    <definedName name="DatosExternos_1" localSheetId="9" hidden="1">Facturas_Julio!$A$1:$L$13</definedName>
    <definedName name="DatosExternos_1" localSheetId="0" hidden="1">LEEME!$A$1:$A$19</definedName>
    <definedName name="DatosExternos_1" localSheetId="11" hidden="1">Ordenes_Compra!$A$1:$D$37</definedName>
    <definedName name="DatosExternos_1" localSheetId="10" hidden="1">Proveedores!$A$1:$C$7</definedName>
    <definedName name="DatosExternos_2" localSheetId="8" hidden="1">Facturas_Consolidadas!$A$1:$N$38</definedName>
    <definedName name="DatosExternos_3" localSheetId="7" hidden="1">'Conteo_documentos'!$A$1:$E$37</definedName>
    <definedName name="DatosExternos_4" localSheetId="6" hidden="1">'Control_Facturas'!$A$1:$R$38</definedName>
  </definedNames>
  <calcPr calcId="191029"/>
  <pivotCaches>
    <pivotCache cacheId="48"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4" i="4" l="1"/>
  <c r="C8" i="13"/>
  <c r="C7" i="13"/>
  <c r="C6" i="13"/>
  <c r="C5" i="13"/>
  <c r="C4" i="13"/>
  <c r="C3"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D8BC60-E9C9-4322-BC26-5B109502CF86}" keepAlive="1" name="Consulta - Archivo de ejemplo" description="Conexión a la consulta 'Archivo de ejemplo' en el libro." type="5" refreshedVersion="0" background="1">
    <dbPr connection="Provider=Microsoft.Mashup.OleDb.1;Data Source=$Workbook$;Location=&quot;Archivo de ejemplo&quot;;Extended Properties=&quot;&quot;" command="SELECT * FROM [Archivo de ejemplo]"/>
  </connection>
  <connection id="2" xr16:uid="{B5DEDF84-44A4-4BA0-B79D-3656CB7D4701}" keepAlive="1" name="Consulta - Conteo_documentos" description="Conexión a la consulta 'Conteo_documentos' en el libro." type="5" refreshedVersion="8" background="1" saveData="1">
    <dbPr connection="Provider=Microsoft.Mashup.OleDb.1;Data Source=$Workbook$;Location=Conteo_documentos;Extended Properties=&quot;&quot;" command="SELECT * FROM [Conteo_documentos]"/>
  </connection>
  <connection id="3" xr16:uid="{BF0B03D4-159A-4AFB-BA9F-589F03F05240}" keepAlive="1" name="Consulta - Control_Facturas" description="Conexión a la consulta 'Control_Facturas' en el libro." type="5" refreshedVersion="8" background="1" saveData="1">
    <dbPr connection="Provider=Microsoft.Mashup.OleDb.1;Data Source=$Workbook$;Location=Control_Facturas;Extended Properties=&quot;&quot;" command="SELECT * FROM [Control_Facturas]"/>
  </connection>
  <connection id="4" xr16:uid="{8E592BBC-6867-48BA-A182-26223BAA447B}" keepAlive="1" name="Consulta - Facturas_2026_07" description="Conexión a la consulta 'Facturas_2026_07' en el libro." type="5" refreshedVersion="0" background="1">
    <dbPr connection="Provider=Microsoft.Mashup.OleDb.1;Data Source=$Workbook$;Location=Facturas_2026_07;Extended Properties=&quot;&quot;" command="SELECT * FROM [Facturas_2026_07]"/>
  </connection>
  <connection id="5" xr16:uid="{17E15A9A-703D-48F3-B7FC-E6EF1C7C0DAA}" keepAlive="1" name="Consulta - Facturas_Consolidadas" description="Conexión a la consulta 'Facturas_Consolidadas' en el libro." type="5" refreshedVersion="8" background="1" saveData="1">
    <dbPr connection="Provider=Microsoft.Mashup.OleDb.1;Data Source=$Workbook$;Location=Facturas_Consolidadas;Extended Properties=&quot;&quot;" command="SELECT * FROM [Facturas_Consolidadas]"/>
  </connection>
  <connection id="6" xr16:uid="{B4AD8675-BA09-4CA1-90DF-A86A6E3CA1E6}" keepAlive="1" name="Consulta - Facturas_Julio" description="Conexión a la consulta 'Facturas_Julio' en el libro." type="5" refreshedVersion="8" background="1" saveData="1">
    <dbPr connection="Provider=Microsoft.Mashup.OleDb.1;Data Source=$Workbook$;Location=Facturas_Julio;Extended Properties=&quot;&quot;" command="SELECT * FROM [Facturas_Julio]"/>
  </connection>
  <connection id="7" xr16:uid="{72E72B93-01D7-47FC-B532-E397B9FBB3D9}" keepAlive="1" name="Consulta - LEEME" description="Conexión a la consulta 'LEEME' en el libro." type="5" refreshedVersion="8" background="1" saveData="1">
    <dbPr connection="Provider=Microsoft.Mashup.OleDb.1;Data Source=$Workbook$;Location=LEEME;Extended Properties=&quot;&quot;" command="SELECT * FROM [LEEME]"/>
  </connection>
  <connection id="8" xr16:uid="{B08E1B5A-FEFD-42B9-9535-3983CBCB3469}" keepAlive="1" name="Consulta - Ordenes_Compra" description="Conexión a la consulta 'Ordenes_Compra' en el libro." type="5" refreshedVersion="8" background="1" saveData="1">
    <dbPr connection="Provider=Microsoft.Mashup.OleDb.1;Data Source=$Workbook$;Location=Ordenes_Compra;Extended Properties=&quot;&quot;" command="SELECT * FROM [Ordenes_Compra]"/>
  </connection>
  <connection id="9" xr16:uid="{215EE8AF-73AF-4D01-8A3B-CC061F63DDFE}" keepAlive="1" name="Consulta - Parámetro1" description="Conexión a la consulta 'Parámetro1' en el libro." type="5" refreshedVersion="0" background="1">
    <dbPr connection="Provider=Microsoft.Mashup.OleDb.1;Data Source=$Workbook$;Location=Parámetro1;Extended Properties=&quot;&quot;" command="SELECT * FROM [Parámetro1]"/>
  </connection>
  <connection id="10" xr16:uid="{C242140A-939C-4671-A259-334AB6ABBA7C}" keepAlive="1" name="Consulta - Proveedores" description="Conexión a la consulta 'Proveedores' en el libro." type="5" refreshedVersion="8" background="1" saveData="1">
    <dbPr connection="Provider=Microsoft.Mashup.OleDb.1;Data Source=$Workbook$;Location=Proveedores;Extended Properties=&quot;&quot;" command="SELECT * FROM [Proveedores]"/>
  </connection>
  <connection id="11" xr16:uid="{8C08B075-7498-4FF2-A187-1C634BC8E119}" keepAlive="1" name="Consulta - Transformar archivo" description="Conexión a la consulta 'Transformar archivo' en el libro." type="5" refreshedVersion="0" background="1">
    <dbPr connection="Provider=Microsoft.Mashup.OleDb.1;Data Source=$Workbook$;Location=&quot;Transformar archivo&quot;;Extended Properties=&quot;&quot;" command="SELECT * FROM [Transformar archivo]"/>
  </connection>
  <connection id="12" xr16:uid="{EDA66222-9D05-4C14-9A53-9246968C8DC0}" keepAlive="1" name="Consulta - Transformar archivo de ejemplo" description="Conexión a la consulta 'Transformar archivo de ejemplo' en el libro." type="5" refreshedVersion="0" background="1">
    <dbPr connection="Provider=Microsoft.Mashup.OleDb.1;Data Source=$Workbook$;Location=&quot;Transformar archivo de ejemplo&quot;;Extended Properties=&quot;&quot;" command="SELECT * FROM [Transformar archivo de ejemplo]"/>
  </connection>
</connections>
</file>

<file path=xl/sharedStrings.xml><?xml version="1.0" encoding="utf-8"?>
<sst xmlns="http://schemas.openxmlformats.org/spreadsheetml/2006/main" count="1227" uniqueCount="188">
  <si>
    <t>Column1</t>
  </si>
  <si>
    <t>PROYECTO CONTROL Y ANALISIS DE COMPRAS Y FACTURAS</t>
  </si>
  <si>
    <t>Datos completamente simulados. Empresa ficticia: Comercial Horizonte.</t>
  </si>
  <si>
    <t/>
  </si>
  <si>
    <t>Copia los tres CSV de Facturas a tu carpeta Facturas y los dos CSV de Maestros a Maestros. Conserva tu Control_Facturas.xlsx existente.</t>
  </si>
  <si>
    <t>Formato: CSV UTF-8, separador punto y coma. Importa desde Datos &gt; Obtener datos &gt; Desde texto/CSV o Desde una carpeta. No es necesario abrir el CSV con doble clic.</t>
  </si>
  <si>
    <t>Cada fila de Facturas representa un registro recibido de un documento completo, no una linea de productos. ID_Registro identifica el registro importado, no garantiza que el documento sea unico. La clave de documento debe considerar proveedor, tipo de documento y folio.</t>
  </si>
  <si>
    <t>Cada orden de compra del ejercicio autoriza una sola factura. El maestro contiene una fila por orden. Los montos son netos, en pesos chilenos, sin IVA. No representan pagos ni costo de ventas.</t>
  </si>
  <si>
    <t>Las fechas de facturas usan dia/mes/aÃ±o. Los codigos y folios son identificadores de texto.</t>
  </si>
  <si>
    <t>Los archivos contienen inconsistencias intencionales. Conserva los originales. No elimines registros hasta definir y justificar una regla.</t>
  </si>
  <si>
    <t>ETAPA 1</t>
  </si>
  <si>
    <t>Importar solamente Facturas_2026_07.csv. Revisar encabezados, filas, tipos y calidad. No combinar ni quitar duplicados todavia.</t>
  </si>
  <si>
    <t>ETAPAS POSTERIORES</t>
  </si>
  <si>
    <t>Consolidar meses, normalizar claves, cruzar maestros, registrar excepciones, validar totales y crear analisis. El archivo de un nuevo mes se entregara despues para probar la actualizacion.</t>
  </si>
  <si>
    <t>ID_Registro</t>
  </si>
  <si>
    <t>Fecha_Emision</t>
  </si>
  <si>
    <t>Codigo_Proveedor</t>
  </si>
  <si>
    <t>Tipo_Documento</t>
  </si>
  <si>
    <t>Folio</t>
  </si>
  <si>
    <t>Orden_Compra</t>
  </si>
  <si>
    <t>Monto_Neto_CLP</t>
  </si>
  <si>
    <t>R-07-001</t>
  </si>
  <si>
    <t>P001</t>
  </si>
  <si>
    <t>Factura</t>
  </si>
  <si>
    <t>OC-07-001</t>
  </si>
  <si>
    <t>R-07-002</t>
  </si>
  <si>
    <t>P002</t>
  </si>
  <si>
    <t>OC-07-002</t>
  </si>
  <si>
    <t>R-07-003</t>
  </si>
  <si>
    <t>OC-07-003</t>
  </si>
  <si>
    <t>R-07-004</t>
  </si>
  <si>
    <t>P004</t>
  </si>
  <si>
    <t>OC-07-004</t>
  </si>
  <si>
    <t>R-07-005</t>
  </si>
  <si>
    <t>P005</t>
  </si>
  <si>
    <t>OC-07-005</t>
  </si>
  <si>
    <t>R-07-006</t>
  </si>
  <si>
    <t>OC-07-006</t>
  </si>
  <si>
    <t>R-07-007</t>
  </si>
  <si>
    <t>OC-07-007</t>
  </si>
  <si>
    <t>R-07-008</t>
  </si>
  <si>
    <t>OC-07-008</t>
  </si>
  <si>
    <t>R-07-009</t>
  </si>
  <si>
    <t>P003</t>
  </si>
  <si>
    <t>OC-07-009</t>
  </si>
  <si>
    <t>R-07-010</t>
  </si>
  <si>
    <t>OC-07-010</t>
  </si>
  <si>
    <t>R-07-011</t>
  </si>
  <si>
    <t>OC-07-011</t>
  </si>
  <si>
    <t>R-07-012</t>
  </si>
  <si>
    <t>P006</t>
  </si>
  <si>
    <t>OC-07-012</t>
  </si>
  <si>
    <t>1001</t>
  </si>
  <si>
    <t>1002</t>
  </si>
  <si>
    <t>1003</t>
  </si>
  <si>
    <t>1004</t>
  </si>
  <si>
    <t>1005</t>
  </si>
  <si>
    <t>1006</t>
  </si>
  <si>
    <t>1007</t>
  </si>
  <si>
    <t>1008</t>
  </si>
  <si>
    <t>1009</t>
  </si>
  <si>
    <t>1010</t>
  </si>
  <si>
    <t>1011</t>
  </si>
  <si>
    <t>1012</t>
  </si>
  <si>
    <t>Total</t>
  </si>
  <si>
    <t>Proveedores.Proveedor</t>
  </si>
  <si>
    <t>Proveedores.Categoria</t>
  </si>
  <si>
    <t>Suministros Andes</t>
  </si>
  <si>
    <t>Insumos</t>
  </si>
  <si>
    <t>Transportes Sur</t>
  </si>
  <si>
    <t>Transporte</t>
  </si>
  <si>
    <t>Servicios Central</t>
  </si>
  <si>
    <t>Servicios</t>
  </si>
  <si>
    <t>Envases Pacifico</t>
  </si>
  <si>
    <t>Envases</t>
  </si>
  <si>
    <t>Mantenciones Norte</t>
  </si>
  <si>
    <t>Mantencion</t>
  </si>
  <si>
    <t>Tecnologia Cordillera</t>
  </si>
  <si>
    <t>Tecnologia</t>
  </si>
  <si>
    <t>CODIGO_PROVEEDOR</t>
  </si>
  <si>
    <t>Proveedor</t>
  </si>
  <si>
    <t>Categoria</t>
  </si>
  <si>
    <t>Ordenes_Compra.Monto_Autorizado_Neto_CLP</t>
  </si>
  <si>
    <t>Diferencia_CLP</t>
  </si>
  <si>
    <t>Estado_control</t>
  </si>
  <si>
    <t>Coincide</t>
  </si>
  <si>
    <t>Revisar diferencia</t>
  </si>
  <si>
    <t>Fecha_OC</t>
  </si>
  <si>
    <t>Monto_Autorizado_Neto_CLP</t>
  </si>
  <si>
    <t>OC-08-001</t>
  </si>
  <si>
    <t>OC-08-002</t>
  </si>
  <si>
    <t>OC-08-003</t>
  </si>
  <si>
    <t>OC-08-004</t>
  </si>
  <si>
    <t>OC-08-005</t>
  </si>
  <si>
    <t>OC-08-006</t>
  </si>
  <si>
    <t>OC-08-007</t>
  </si>
  <si>
    <t>OC-08-008</t>
  </si>
  <si>
    <t>OC-08-009</t>
  </si>
  <si>
    <t>OC-08-010</t>
  </si>
  <si>
    <t>OC-08-011</t>
  </si>
  <si>
    <t>OC-08-012</t>
  </si>
  <si>
    <t>OC-09-001</t>
  </si>
  <si>
    <t>OC-09-002</t>
  </si>
  <si>
    <t>OC-09-003</t>
  </si>
  <si>
    <t>OC-09-004</t>
  </si>
  <si>
    <t>OC-09-005</t>
  </si>
  <si>
    <t>OC-09-006</t>
  </si>
  <si>
    <t>OC-09-007</t>
  </si>
  <si>
    <t>OC-09-008</t>
  </si>
  <si>
    <t>OC-09-009</t>
  </si>
  <si>
    <t>OC-09-010</t>
  </si>
  <si>
    <t>OC-09-011</t>
  </si>
  <si>
    <t>OC-09-012</t>
  </si>
  <si>
    <t>Source.Name</t>
  </si>
  <si>
    <t>Estado_Proveedor</t>
  </si>
  <si>
    <t>Facturas_2026_07.csv</t>
  </si>
  <si>
    <t>Proveedor registrado</t>
  </si>
  <si>
    <t>Facturas_2026_08.csv</t>
  </si>
  <si>
    <t>R-08-001</t>
  </si>
  <si>
    <t>R-08-013</t>
  </si>
  <si>
    <t>R-08-002</t>
  </si>
  <si>
    <t>R-08-003</t>
  </si>
  <si>
    <t>R-08-004</t>
  </si>
  <si>
    <t>R-08-005</t>
  </si>
  <si>
    <t>P099</t>
  </si>
  <si>
    <t>Proveedor no encontrado</t>
  </si>
  <si>
    <t>R-08-006</t>
  </si>
  <si>
    <t>R-08-007</t>
  </si>
  <si>
    <t>R-08-008</t>
  </si>
  <si>
    <t>Sin OC válida</t>
  </si>
  <si>
    <t>R-08-009</t>
  </si>
  <si>
    <t>R-08-010</t>
  </si>
  <si>
    <t>R-08-011</t>
  </si>
  <si>
    <t>R-08-012</t>
  </si>
  <si>
    <t>Facturas_2026_09.csv</t>
  </si>
  <si>
    <t>R-09-001</t>
  </si>
  <si>
    <t>R-09-002</t>
  </si>
  <si>
    <t>R-09-003</t>
  </si>
  <si>
    <t>R-09-004</t>
  </si>
  <si>
    <t>OC-09-999</t>
  </si>
  <si>
    <t>R-09-005</t>
  </si>
  <si>
    <t>R-09-006</t>
  </si>
  <si>
    <t>R-09-007</t>
  </si>
  <si>
    <t>R-09-008</t>
  </si>
  <si>
    <t>R-09-009</t>
  </si>
  <si>
    <t>R-09-010</t>
  </si>
  <si>
    <t>R-09-011</t>
  </si>
  <si>
    <t>R-09-012</t>
  </si>
  <si>
    <t>Cantidad_Registros</t>
  </si>
  <si>
    <t>Estado_Duplicado</t>
  </si>
  <si>
    <t>Resultado_Revision</t>
  </si>
  <si>
    <t>Sin duplicidad</t>
  </si>
  <si>
    <t>Sin alertas</t>
  </si>
  <si>
    <t>Revisar</t>
  </si>
  <si>
    <t>Posible duplicado</t>
  </si>
  <si>
    <t>Etiquetas de fila</t>
  </si>
  <si>
    <t>Total general</t>
  </si>
  <si>
    <t>Cuenta de ID_Registro</t>
  </si>
  <si>
    <t>Cuenta de ID_Registro2</t>
  </si>
  <si>
    <t>Suma de Diferencia_CLP</t>
  </si>
  <si>
    <t>Suma de Monto_Neto_CLP</t>
  </si>
  <si>
    <t>Indicador</t>
  </si>
  <si>
    <t>Resultado</t>
  </si>
  <si>
    <t>Registros revisados</t>
  </si>
  <si>
    <t>Registros con alertas</t>
  </si>
  <si>
    <t>Porcentaje con alertas</t>
  </si>
  <si>
    <t>Excesos sobre OC pendientes de revisar</t>
  </si>
  <si>
    <t>Monto de facturas sin OC válida</t>
  </si>
  <si>
    <t>Monto repetido si se confirma el duplicado</t>
  </si>
  <si>
    <t>Al analizar 37 registros de facturas, detecté 7 con alertas: diferencias sobre los montos autorizados por $40.000, facturas sin OC válida por $335.000 y un posible registro duplicado de $102.500. Recomiendo validar las diferencias y las OC con Compras, y confirmar el duplicado antes de procesar los documentos involucrados.</t>
  </si>
  <si>
    <t>RESUMEN</t>
  </si>
  <si>
    <t>Hallazgos y recomendaciones</t>
  </si>
  <si>
    <t>Monto_Duplicado_Potencial</t>
  </si>
  <si>
    <t>Suma de Monto_Duplicado_Potencial</t>
  </si>
  <si>
    <t>Tema</t>
  </si>
  <si>
    <t>Descripción</t>
  </si>
  <si>
    <t>Objetivo</t>
  </si>
  <si>
    <t>Detectar diferencias entre facturas y OC, proveedores no registrados y posibles duplicados.</t>
  </si>
  <si>
    <t>Fuentes</t>
  </si>
  <si>
    <t>CSV mensuales de Facturas y maestros de Proveedores y Órdenes de Compra.</t>
  </si>
  <si>
    <t>Actualización</t>
  </si>
  <si>
    <t>Agregar los CSV a Facturas, actualizar las consultas y, al terminar, las tablas dinámicas.</t>
  </si>
  <si>
    <t>Duplicados</t>
  </si>
  <si>
    <t>En esta práctica: proveedor + tipo + folio + fecha. El monto potencial supone copias con igual importe.</t>
  </si>
  <si>
    <t>Alcance</t>
  </si>
  <si>
    <t>Datos simulados. Las alertas requieren validación; no representan pérdidas confirmadas.</t>
  </si>
  <si>
    <t>Texto del resumen</t>
  </si>
  <si>
    <t>Revisar manualmente los hallazgos después de cada actualización.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</si>
</sst>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 &quot;$&quot;* #,##0_ ;_ &quot;$&quot;* \-#,##0_ ;_ &quot;$&quot;* &quot;-&quot;_ ;_ @_ "/>
    <numFmt numFmtId="41" formatCode="_ * #,##0_ ;_ * \-#,##0_ ;_ * &quot;-&quot;_ ;_ @_ "/>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u/>
      <sz val="11"/>
      <color theme="1"/>
      <name val="Aptos Narrow"/>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
    <xf numFmtId="0" fontId="0" fillId="0" borderId="0"/>
    <xf numFmtId="41"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cellStyleXfs>
  <cellXfs count="31">
    <xf numFmtId="0" fontId="0" fillId="0" borderId="0" xfId="0"/>
    <xf numFmtId="14" fontId="0" fillId="0" borderId="0" xfId="0" applyNumberFormat="1"/>
    <xf numFmtId="0" fontId="4" fillId="0" borderId="0" xfId="0" applyFont="1"/>
    <xf numFmtId="0" fontId="0" fillId="0" borderId="0" xfId="0" pivotButton="1"/>
    <xf numFmtId="0" fontId="0" fillId="0" borderId="0" xfId="0" applyAlignment="1">
      <alignment horizontal="left"/>
    </xf>
    <xf numFmtId="10"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41" fontId="2" fillId="0" borderId="0" xfId="1" applyFont="1" applyAlignment="1">
      <alignment horizontal="center" vertical="center" wrapText="1"/>
    </xf>
    <xf numFmtId="41" fontId="0" fillId="0" borderId="0" xfId="1" applyFont="1" applyAlignment="1">
      <alignment horizontal="center"/>
    </xf>
    <xf numFmtId="0" fontId="0" fillId="0" borderId="0" xfId="0" applyAlignment="1">
      <alignment horizontal="center"/>
    </xf>
    <xf numFmtId="10" fontId="0" fillId="0" borderId="0" xfId="3" applyNumberFormat="1" applyFont="1" applyAlignment="1">
      <alignment horizontal="center"/>
    </xf>
    <xf numFmtId="0" fontId="0" fillId="0" borderId="0" xfId="0" applyAlignment="1">
      <alignment vertical="top" wrapText="1"/>
    </xf>
    <xf numFmtId="42" fontId="0" fillId="0" borderId="0" xfId="2" applyFont="1" applyAlignment="1"/>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0" fillId="0" borderId="6" xfId="0" applyBorder="1" applyAlignment="1">
      <alignment vertical="center" wrapText="1"/>
    </xf>
    <xf numFmtId="0" fontId="0" fillId="0" borderId="3"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center"/>
    </xf>
    <xf numFmtId="0" fontId="2" fillId="0" borderId="2" xfId="0" applyFont="1" applyBorder="1" applyAlignment="1">
      <alignment horizontal="center"/>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3"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0" xfId="0" applyNumberFormat="1"/>
  </cellXfs>
  <cellStyles count="4">
    <cellStyle name="Millares [0]" xfId="1" builtinId="6"/>
    <cellStyle name="Moneda [0]" xfId="2" builtinId="7"/>
    <cellStyle name="Normal" xfId="0" builtinId="0"/>
    <cellStyle name="Porcentaje" xfId="3" builtinId="5"/>
  </cellStyles>
  <dxfs count="39">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alignment horizontal="general" vertical="center" textRotation="0" wrapText="1"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vier Briceño" refreshedDate="46320.047373726855" createdVersion="8" refreshedVersion="8" minRefreshableVersion="3" recordCount="37" xr:uid="{62F0CDB9-16E6-427E-9C73-88A93FC6D6DB}">
  <cacheSource type="worksheet">
    <worksheetSource name="Control_Facturas"/>
  </cacheSource>
  <cacheFields count="18">
    <cacheField name="Source.Name" numFmtId="0">
      <sharedItems/>
    </cacheField>
    <cacheField name="ID_Registro" numFmtId="0">
      <sharedItems/>
    </cacheField>
    <cacheField name="Fecha_Emision" numFmtId="14">
      <sharedItems containsSemiMixedTypes="0" containsNonDate="0" containsDate="1" containsString="0" minDate="2026-07-03T00:00:00" maxDate="2026-09-15T00:00:00"/>
    </cacheField>
    <cacheField name="Codigo_Proveedor" numFmtId="0">
      <sharedItems/>
    </cacheField>
    <cacheField name="Tipo_Documento" numFmtId="0">
      <sharedItems/>
    </cacheField>
    <cacheField name="Folio" numFmtId="0">
      <sharedItems/>
    </cacheField>
    <cacheField name="Orden_Compra" numFmtId="0">
      <sharedItems/>
    </cacheField>
    <cacheField name="Monto_Neto_CLP" numFmtId="0">
      <sharedItems containsSemiMixedTypes="0" containsString="0" containsNumber="1" containsInteger="1" minValue="97500" maxValue="245000"/>
    </cacheField>
    <cacheField name="Proveedores.Proveedor" numFmtId="0">
      <sharedItems containsBlank="1"/>
    </cacheField>
    <cacheField name="Proveedores.Categoria" numFmtId="0">
      <sharedItems containsBlank="1"/>
    </cacheField>
    <cacheField name="Monto_Autorizado_Neto_CLP" numFmtId="0">
      <sharedItems containsString="0" containsBlank="1" containsNumber="1" containsInteger="1" minValue="97500" maxValue="245000"/>
    </cacheField>
    <cacheField name="Diferencia_CLP" numFmtId="0">
      <sharedItems containsString="0" containsBlank="1" containsNumber="1" containsInteger="1" minValue="0" maxValue="25000"/>
    </cacheField>
    <cacheField name="Estado_control" numFmtId="0">
      <sharedItems count="3">
        <s v="Coincide"/>
        <s v="Revisar diferencia"/>
        <s v="Sin OC válida"/>
      </sharedItems>
    </cacheField>
    <cacheField name="Estado_Proveedor" numFmtId="0">
      <sharedItems/>
    </cacheField>
    <cacheField name="Cantidad_Registros" numFmtId="0">
      <sharedItems containsSemiMixedTypes="0" containsString="0" containsNumber="1" containsInteger="1" minValue="1" maxValue="2"/>
    </cacheField>
    <cacheField name="Estado_Duplicado" numFmtId="0">
      <sharedItems count="2">
        <s v="Sin duplicidad"/>
        <s v="Posible duplicado"/>
      </sharedItems>
    </cacheField>
    <cacheField name="Resultado_Revision" numFmtId="0">
      <sharedItems count="2">
        <s v="Sin alertas"/>
        <s v="Revisar"/>
      </sharedItems>
    </cacheField>
    <cacheField name="Monto_Duplicado_Potencial" numFmtId="0">
      <sharedItems containsSemiMixedTypes="0" containsString="0" containsNumber="1" containsInteger="1" minValue="0" maxValue="51250"/>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s v="Facturas_2026_07.csv"/>
    <s v="R-07-001"/>
    <d v="2026-07-03T00:00:00"/>
    <s v="P001"/>
    <s v="Factura"/>
    <s v="1001"/>
    <s v="OC-07-001"/>
    <n v="97500"/>
    <s v="Suministros Andes"/>
    <s v="Insumos"/>
    <n v="97500"/>
    <n v="0"/>
    <x v="0"/>
    <s v="Proveedor registrado"/>
    <n v="1"/>
    <x v="0"/>
    <x v="0"/>
    <n v="0"/>
  </r>
  <r>
    <s v="Facturas_2026_07.csv"/>
    <s v="R-07-007"/>
    <d v="2026-07-09T00:00:00"/>
    <s v="P001"/>
    <s v="Factura"/>
    <s v="1007"/>
    <s v="OC-07-007"/>
    <n v="172500"/>
    <s v="Suministros Andes"/>
    <s v="Insumos"/>
    <n v="172500"/>
    <n v="0"/>
    <x v="0"/>
    <s v="Proveedor registrado"/>
    <n v="1"/>
    <x v="0"/>
    <x v="0"/>
    <n v="0"/>
  </r>
  <r>
    <s v="Facturas_2026_07.csv"/>
    <s v="R-07-002"/>
    <d v="2026-07-04T00:00:00"/>
    <s v="P002"/>
    <s v="Factura"/>
    <s v="1002"/>
    <s v="OC-07-002"/>
    <n v="110000"/>
    <s v="Transportes Sur"/>
    <s v="Transporte"/>
    <n v="110000"/>
    <n v="0"/>
    <x v="0"/>
    <s v="Proveedor registrado"/>
    <n v="1"/>
    <x v="0"/>
    <x v="0"/>
    <n v="0"/>
  </r>
  <r>
    <s v="Facturas_2026_07.csv"/>
    <s v="R-07-003"/>
    <d v="2026-07-05T00:00:00"/>
    <s v="P003"/>
    <s v="Factura"/>
    <s v="1003"/>
    <s v="OC-07-003"/>
    <n v="122500"/>
    <s v="Servicios Central"/>
    <s v="Servicios"/>
    <n v="122500"/>
    <n v="0"/>
    <x v="0"/>
    <s v="Proveedor registrado"/>
    <n v="1"/>
    <x v="0"/>
    <x v="0"/>
    <n v="0"/>
  </r>
  <r>
    <s v="Facturas_2026_07.csv"/>
    <s v="R-07-004"/>
    <d v="2026-07-06T00:00:00"/>
    <s v="P004"/>
    <s v="Factura"/>
    <s v="1004"/>
    <s v="OC-07-004"/>
    <n v="135000"/>
    <s v="Envases Pacifico"/>
    <s v="Envases"/>
    <n v="135000"/>
    <n v="0"/>
    <x v="0"/>
    <s v="Proveedor registrado"/>
    <n v="1"/>
    <x v="0"/>
    <x v="0"/>
    <n v="0"/>
  </r>
  <r>
    <s v="Facturas_2026_07.csv"/>
    <s v="R-07-005"/>
    <d v="2026-07-07T00:00:00"/>
    <s v="P005"/>
    <s v="Factura"/>
    <s v="1005"/>
    <s v="OC-07-005"/>
    <n v="147500"/>
    <s v="Mantenciones Norte"/>
    <s v="Mantencion"/>
    <n v="147500"/>
    <n v="0"/>
    <x v="0"/>
    <s v="Proveedor registrado"/>
    <n v="1"/>
    <x v="0"/>
    <x v="0"/>
    <n v="0"/>
  </r>
  <r>
    <s v="Facturas_2026_07.csv"/>
    <s v="R-07-006"/>
    <d v="2026-07-08T00:00:00"/>
    <s v="P006"/>
    <s v="Factura"/>
    <s v="1006"/>
    <s v="OC-07-006"/>
    <n v="160000"/>
    <s v="Tecnologia Cordillera"/>
    <s v="Tecnologia"/>
    <n v="160000"/>
    <n v="0"/>
    <x v="0"/>
    <s v="Proveedor registrado"/>
    <n v="1"/>
    <x v="0"/>
    <x v="0"/>
    <n v="0"/>
  </r>
  <r>
    <s v="Facturas_2026_07.csv"/>
    <s v="R-07-008"/>
    <d v="2026-07-10T00:00:00"/>
    <s v="P002"/>
    <s v="Factura"/>
    <s v="1008"/>
    <s v="OC-07-008"/>
    <n v="185000"/>
    <s v="Transportes Sur"/>
    <s v="Transporte"/>
    <n v="185000"/>
    <n v="0"/>
    <x v="0"/>
    <s v="Proveedor registrado"/>
    <n v="1"/>
    <x v="0"/>
    <x v="0"/>
    <n v="0"/>
  </r>
  <r>
    <s v="Facturas_2026_07.csv"/>
    <s v="R-07-009"/>
    <d v="2026-07-11T00:00:00"/>
    <s v="P003"/>
    <s v="Factura"/>
    <s v="1009"/>
    <s v="OC-07-009"/>
    <n v="197500"/>
    <s v="Servicios Central"/>
    <s v="Servicios"/>
    <n v="197500"/>
    <n v="0"/>
    <x v="0"/>
    <s v="Proveedor registrado"/>
    <n v="1"/>
    <x v="0"/>
    <x v="0"/>
    <n v="0"/>
  </r>
  <r>
    <s v="Facturas_2026_07.csv"/>
    <s v="R-07-010"/>
    <d v="2026-07-12T00:00:00"/>
    <s v="P004"/>
    <s v="Factura"/>
    <s v="1010"/>
    <s v="OC-07-010"/>
    <n v="225000"/>
    <s v="Envases Pacifico"/>
    <s v="Envases"/>
    <n v="210000"/>
    <n v="15000"/>
    <x v="1"/>
    <s v="Proveedor registrado"/>
    <n v="1"/>
    <x v="0"/>
    <x v="1"/>
    <n v="0"/>
  </r>
  <r>
    <s v="Facturas_2026_07.csv"/>
    <s v="R-07-011"/>
    <d v="2026-07-13T00:00:00"/>
    <s v="P005"/>
    <s v="Factura"/>
    <s v="1011"/>
    <s v="OC-07-011"/>
    <n v="222500"/>
    <s v="Mantenciones Norte"/>
    <s v="Mantencion"/>
    <n v="222500"/>
    <n v="0"/>
    <x v="0"/>
    <s v="Proveedor registrado"/>
    <n v="1"/>
    <x v="0"/>
    <x v="0"/>
    <n v="0"/>
  </r>
  <r>
    <s v="Facturas_2026_07.csv"/>
    <s v="R-07-012"/>
    <d v="2026-07-14T00:00:00"/>
    <s v="P006"/>
    <s v="Factura"/>
    <s v="1012"/>
    <s v="OC-07-012"/>
    <n v="235000"/>
    <s v="Tecnologia Cordillera"/>
    <s v="Tecnologia"/>
    <n v="235000"/>
    <n v="0"/>
    <x v="0"/>
    <s v="Proveedor registrado"/>
    <n v="1"/>
    <x v="0"/>
    <x v="0"/>
    <n v="0"/>
  </r>
  <r>
    <s v="Facturas_2026_08.csv"/>
    <s v="R-08-001"/>
    <d v="2026-08-03T00:00:00"/>
    <s v="P001"/>
    <s v="Factura"/>
    <s v="1001"/>
    <s v="OC-08-001"/>
    <n v="102500"/>
    <s v="Suministros Andes"/>
    <s v="Insumos"/>
    <n v="102500"/>
    <n v="0"/>
    <x v="0"/>
    <s v="Proveedor registrado"/>
    <n v="2"/>
    <x v="1"/>
    <x v="1"/>
    <n v="51250"/>
  </r>
  <r>
    <s v="Facturas_2026_08.csv"/>
    <s v="R-08-013"/>
    <d v="2026-08-03T00:00:00"/>
    <s v="P001"/>
    <s v="Factura"/>
    <s v="1001"/>
    <s v="OC-08-001"/>
    <n v="102500"/>
    <s v="Suministros Andes"/>
    <s v="Insumos"/>
    <n v="102500"/>
    <n v="0"/>
    <x v="0"/>
    <s v="Proveedor registrado"/>
    <n v="2"/>
    <x v="1"/>
    <x v="1"/>
    <n v="51250"/>
  </r>
  <r>
    <s v="Facturas_2026_08.csv"/>
    <s v="R-08-002"/>
    <d v="2026-08-04T00:00:00"/>
    <s v="P002"/>
    <s v="Factura"/>
    <s v="1002"/>
    <s v="OC-08-002"/>
    <n v="115000"/>
    <s v="Transportes Sur"/>
    <s v="Transporte"/>
    <n v="115000"/>
    <n v="0"/>
    <x v="0"/>
    <s v="Proveedor registrado"/>
    <n v="1"/>
    <x v="0"/>
    <x v="0"/>
    <n v="0"/>
  </r>
  <r>
    <s v="Facturas_2026_08.csv"/>
    <s v="R-08-003"/>
    <d v="2026-08-05T00:00:00"/>
    <s v="P003"/>
    <s v="Factura"/>
    <s v="1003"/>
    <s v="OC-08-003"/>
    <n v="127500"/>
    <s v="Servicios Central"/>
    <s v="Servicios"/>
    <n v="127500"/>
    <n v="0"/>
    <x v="0"/>
    <s v="Proveedor registrado"/>
    <n v="1"/>
    <x v="0"/>
    <x v="0"/>
    <n v="0"/>
  </r>
  <r>
    <s v="Facturas_2026_08.csv"/>
    <s v="R-08-004"/>
    <d v="2026-08-06T00:00:00"/>
    <s v="P004"/>
    <s v="Factura"/>
    <s v="1004"/>
    <s v="OC-08-004"/>
    <n v="140000"/>
    <s v="Envases Pacifico"/>
    <s v="Envases"/>
    <n v="140000"/>
    <n v="0"/>
    <x v="0"/>
    <s v="Proveedor registrado"/>
    <n v="1"/>
    <x v="0"/>
    <x v="0"/>
    <n v="0"/>
  </r>
  <r>
    <s v="Facturas_2026_08.csv"/>
    <s v="R-08-005"/>
    <d v="2026-08-07T00:00:00"/>
    <s v="P099"/>
    <s v="Factura"/>
    <s v="1005"/>
    <s v="OC-08-005"/>
    <n v="152500"/>
    <m/>
    <m/>
    <n v="152500"/>
    <n v="0"/>
    <x v="0"/>
    <s v="Proveedor no encontrado"/>
    <n v="1"/>
    <x v="0"/>
    <x v="1"/>
    <n v="0"/>
  </r>
  <r>
    <s v="Facturas_2026_08.csv"/>
    <s v="R-08-006"/>
    <d v="2026-08-08T00:00:00"/>
    <s v="P006"/>
    <s v="Factura"/>
    <s v="1006"/>
    <s v="OC-08-006"/>
    <n v="165000"/>
    <s v="Tecnologia Cordillera"/>
    <s v="Tecnologia"/>
    <n v="165000"/>
    <n v="0"/>
    <x v="0"/>
    <s v="Proveedor registrado"/>
    <n v="1"/>
    <x v="0"/>
    <x v="0"/>
    <n v="0"/>
  </r>
  <r>
    <s v="Facturas_2026_08.csv"/>
    <s v="R-08-007"/>
    <d v="2026-08-09T00:00:00"/>
    <s v="P001"/>
    <s v="Factura"/>
    <s v="1007"/>
    <s v="OC-08-007"/>
    <n v="177500"/>
    <s v="Suministros Andes"/>
    <s v="Insumos"/>
    <n v="177500"/>
    <n v="0"/>
    <x v="0"/>
    <s v="Proveedor registrado"/>
    <n v="1"/>
    <x v="0"/>
    <x v="0"/>
    <n v="0"/>
  </r>
  <r>
    <s v="Facturas_2026_08.csv"/>
    <s v="R-08-008"/>
    <d v="2026-08-10T00:00:00"/>
    <s v="P002"/>
    <s v="Factura"/>
    <s v="1008"/>
    <s v=""/>
    <n v="190000"/>
    <s v="Transportes Sur"/>
    <s v="Transporte"/>
    <m/>
    <m/>
    <x v="2"/>
    <s v="Proveedor registrado"/>
    <n v="1"/>
    <x v="0"/>
    <x v="1"/>
    <n v="0"/>
  </r>
  <r>
    <s v="Facturas_2026_08.csv"/>
    <s v="R-08-009"/>
    <d v="2026-08-11T00:00:00"/>
    <s v="P003"/>
    <s v="Factura"/>
    <s v="1009"/>
    <s v="OC-08-009"/>
    <n v="202500"/>
    <s v="Servicios Central"/>
    <s v="Servicios"/>
    <n v="202500"/>
    <n v="0"/>
    <x v="0"/>
    <s v="Proveedor registrado"/>
    <n v="1"/>
    <x v="0"/>
    <x v="0"/>
    <n v="0"/>
  </r>
  <r>
    <s v="Facturas_2026_08.csv"/>
    <s v="R-08-010"/>
    <d v="2026-08-12T00:00:00"/>
    <s v="P004"/>
    <s v="Factura"/>
    <s v="1010"/>
    <s v="OC-08-010"/>
    <n v="215000"/>
    <s v="Envases Pacifico"/>
    <s v="Envases"/>
    <n v="215000"/>
    <n v="0"/>
    <x v="0"/>
    <s v="Proveedor registrado"/>
    <n v="1"/>
    <x v="0"/>
    <x v="0"/>
    <n v="0"/>
  </r>
  <r>
    <s v="Facturas_2026_08.csv"/>
    <s v="R-08-011"/>
    <d v="2026-08-13T00:00:00"/>
    <s v="P005"/>
    <s v="Factura"/>
    <s v="1011"/>
    <s v="OC-08-011"/>
    <n v="227500"/>
    <s v="Mantenciones Norte"/>
    <s v="Mantencion"/>
    <n v="227500"/>
    <n v="0"/>
    <x v="0"/>
    <s v="Proveedor registrado"/>
    <n v="1"/>
    <x v="0"/>
    <x v="0"/>
    <n v="0"/>
  </r>
  <r>
    <s v="Facturas_2026_08.csv"/>
    <s v="R-08-012"/>
    <d v="2026-08-14T00:00:00"/>
    <s v="P006"/>
    <s v="Factura"/>
    <s v="1012"/>
    <s v="OC-08-012"/>
    <n v="240000"/>
    <s v="Tecnologia Cordillera"/>
    <s v="Tecnologia"/>
    <n v="240000"/>
    <n v="0"/>
    <x v="0"/>
    <s v="Proveedor registrado"/>
    <n v="1"/>
    <x v="0"/>
    <x v="0"/>
    <n v="0"/>
  </r>
  <r>
    <s v="Facturas_2026_09.csv"/>
    <s v="R-09-001"/>
    <d v="2026-09-03T00:00:00"/>
    <s v="P001"/>
    <s v="Factura"/>
    <s v="1001"/>
    <s v="OC-09-001"/>
    <n v="107500"/>
    <s v="Suministros Andes"/>
    <s v="Insumos"/>
    <n v="107500"/>
    <n v="0"/>
    <x v="0"/>
    <s v="Proveedor registrado"/>
    <n v="1"/>
    <x v="0"/>
    <x v="0"/>
    <n v="0"/>
  </r>
  <r>
    <s v="Facturas_2026_09.csv"/>
    <s v="R-09-002"/>
    <d v="2026-09-04T00:00:00"/>
    <s v="P002"/>
    <s v="Factura"/>
    <s v="1002"/>
    <s v="OC-09-002"/>
    <n v="120000"/>
    <s v="Transportes Sur"/>
    <s v="Transporte"/>
    <n v="120000"/>
    <n v="0"/>
    <x v="0"/>
    <s v="Proveedor registrado"/>
    <n v="1"/>
    <x v="0"/>
    <x v="0"/>
    <n v="0"/>
  </r>
  <r>
    <s v="Facturas_2026_09.csv"/>
    <s v="R-09-003"/>
    <d v="2026-09-05T00:00:00"/>
    <s v="P003"/>
    <s v="Factura"/>
    <s v="1003"/>
    <s v="OC-09-003"/>
    <n v="132500"/>
    <s v="Servicios Central"/>
    <s v="Servicios"/>
    <n v="132500"/>
    <n v="0"/>
    <x v="0"/>
    <s v="Proveedor registrado"/>
    <n v="1"/>
    <x v="0"/>
    <x v="0"/>
    <n v="0"/>
  </r>
  <r>
    <s v="Facturas_2026_09.csv"/>
    <s v="R-09-004"/>
    <d v="2026-09-06T00:00:00"/>
    <s v="P004"/>
    <s v="Factura"/>
    <s v="1004"/>
    <s v="OC-09-999"/>
    <n v="145000"/>
    <s v="Envases Pacifico"/>
    <s v="Envases"/>
    <m/>
    <m/>
    <x v="2"/>
    <s v="Proveedor registrado"/>
    <n v="1"/>
    <x v="0"/>
    <x v="1"/>
    <n v="0"/>
  </r>
  <r>
    <s v="Facturas_2026_09.csv"/>
    <s v="R-09-005"/>
    <d v="2026-09-07T00:00:00"/>
    <s v="P005"/>
    <s v="Factura"/>
    <s v="1005"/>
    <s v="OC-09-005"/>
    <n v="157500"/>
    <s v="Mantenciones Norte"/>
    <s v="Mantencion"/>
    <n v="157500"/>
    <n v="0"/>
    <x v="0"/>
    <s v="Proveedor registrado"/>
    <n v="1"/>
    <x v="0"/>
    <x v="0"/>
    <n v="0"/>
  </r>
  <r>
    <s v="Facturas_2026_09.csv"/>
    <s v="R-09-006"/>
    <d v="2026-09-08T00:00:00"/>
    <s v="P006"/>
    <s v="Factura"/>
    <s v="1006"/>
    <s v="OC-09-006"/>
    <n v="170000"/>
    <s v="Tecnologia Cordillera"/>
    <s v="Tecnologia"/>
    <n v="170000"/>
    <n v="0"/>
    <x v="0"/>
    <s v="Proveedor registrado"/>
    <n v="1"/>
    <x v="0"/>
    <x v="0"/>
    <n v="0"/>
  </r>
  <r>
    <s v="Facturas_2026_09.csv"/>
    <s v="R-09-007"/>
    <d v="2026-09-09T00:00:00"/>
    <s v="P001"/>
    <s v="Factura"/>
    <s v="1007"/>
    <s v="OC-09-007"/>
    <n v="182500"/>
    <s v="Suministros Andes"/>
    <s v="Insumos"/>
    <n v="182500"/>
    <n v="0"/>
    <x v="0"/>
    <s v="Proveedor registrado"/>
    <n v="1"/>
    <x v="0"/>
    <x v="0"/>
    <n v="0"/>
  </r>
  <r>
    <s v="Facturas_2026_09.csv"/>
    <s v="R-09-008"/>
    <d v="2026-09-10T00:00:00"/>
    <s v="P002"/>
    <s v="Factura"/>
    <s v="1008"/>
    <s v="OC-09-008"/>
    <n v="195000"/>
    <s v="Transportes Sur"/>
    <s v="Transporte"/>
    <n v="195000"/>
    <n v="0"/>
    <x v="0"/>
    <s v="Proveedor registrado"/>
    <n v="1"/>
    <x v="0"/>
    <x v="0"/>
    <n v="0"/>
  </r>
  <r>
    <s v="Facturas_2026_09.csv"/>
    <s v="R-09-009"/>
    <d v="2026-09-11T00:00:00"/>
    <s v="P003"/>
    <s v="Factura"/>
    <s v="1009"/>
    <s v="OC-09-009"/>
    <n v="232500"/>
    <s v="Servicios Central"/>
    <s v="Servicios"/>
    <n v="207500"/>
    <n v="25000"/>
    <x v="1"/>
    <s v="Proveedor registrado"/>
    <n v="1"/>
    <x v="0"/>
    <x v="1"/>
    <n v="0"/>
  </r>
  <r>
    <s v="Facturas_2026_09.csv"/>
    <s v="R-09-010"/>
    <d v="2026-09-12T00:00:00"/>
    <s v="P004"/>
    <s v="Factura"/>
    <s v="1010"/>
    <s v="OC-09-010"/>
    <n v="220000"/>
    <s v="Envases Pacifico"/>
    <s v="Envases"/>
    <n v="220000"/>
    <n v="0"/>
    <x v="0"/>
    <s v="Proveedor registrado"/>
    <n v="1"/>
    <x v="0"/>
    <x v="0"/>
    <n v="0"/>
  </r>
  <r>
    <s v="Facturas_2026_09.csv"/>
    <s v="R-09-011"/>
    <d v="2026-09-13T00:00:00"/>
    <s v="P005"/>
    <s v="Factura"/>
    <s v="1011"/>
    <s v="OC-09-011"/>
    <n v="232500"/>
    <s v="Mantenciones Norte"/>
    <s v="Mantencion"/>
    <n v="232500"/>
    <n v="0"/>
    <x v="0"/>
    <s v="Proveedor registrado"/>
    <n v="1"/>
    <x v="0"/>
    <x v="0"/>
    <n v="0"/>
  </r>
  <r>
    <s v="Facturas_2026_09.csv"/>
    <s v="R-09-012"/>
    <d v="2026-09-14T00:00:00"/>
    <s v="P006"/>
    <s v="Factura"/>
    <s v="1012"/>
    <s v="OC-09-012"/>
    <n v="245000"/>
    <s v="Tecnologia Cordillera"/>
    <s v="Tecnologia"/>
    <n v="245000"/>
    <n v="0"/>
    <x v="0"/>
    <s v="Proveedor registrado"/>
    <n v="1"/>
    <x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D8F873-9584-4243-8126-C59C2723C23A}" name="TablaDinámica1" cacheId="4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D6" firstHeaderRow="0" firstDataRow="1" firstDataCol="1"/>
  <pivotFields count="18">
    <pivotField showAll="0"/>
    <pivotField dataField="1"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3">
        <item x="1"/>
        <item x="0"/>
        <item t="default"/>
      </items>
    </pivotField>
    <pivotField showAll="0"/>
  </pivotFields>
  <rowFields count="1">
    <field x="16"/>
  </rowFields>
  <rowItems count="3">
    <i>
      <x/>
    </i>
    <i>
      <x v="1"/>
    </i>
    <i t="grand">
      <x/>
    </i>
  </rowItems>
  <colFields count="1">
    <field x="-2"/>
  </colFields>
  <colItems count="3">
    <i>
      <x/>
    </i>
    <i i="1">
      <x v="1"/>
    </i>
    <i i="2">
      <x v="2"/>
    </i>
  </colItems>
  <dataFields count="3">
    <dataField name="Cuenta de ID_Registro" fld="1" subtotal="count" baseField="0" baseItem="0"/>
    <dataField name="Cuenta de ID_Registro2" fld="1" subtotal="count" showDataAs="percentOfTotal" baseField="16" baseItem="0" numFmtId="10"/>
    <dataField name="Suma de Diferencia_CLP"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368158-77E4-41B2-8665-20A1D483A26B}" name="TablaDinámica2" cacheId="4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D7" firstHeaderRow="0" firstDataRow="1" firstDataCol="1"/>
  <pivotFields count="18">
    <pivotField showAll="0"/>
    <pivotField dataField="1" showAll="0"/>
    <pivotField numFmtId="14" showAll="0"/>
    <pivotField showAll="0"/>
    <pivotField showAll="0"/>
    <pivotField showAll="0"/>
    <pivotField showAll="0"/>
    <pivotField dataField="1" showAll="0"/>
    <pivotField showAll="0"/>
    <pivotField showAll="0"/>
    <pivotField showAll="0"/>
    <pivotField dataField="1" showAll="0"/>
    <pivotField axis="axisRow" showAll="0">
      <items count="4">
        <item x="0"/>
        <item x="1"/>
        <item x="2"/>
        <item t="default"/>
      </items>
    </pivotField>
    <pivotField showAll="0"/>
    <pivotField showAll="0"/>
    <pivotField showAll="0"/>
    <pivotField showAll="0"/>
    <pivotField showAll="0"/>
  </pivotFields>
  <rowFields count="1">
    <field x="12"/>
  </rowFields>
  <rowItems count="4">
    <i>
      <x/>
    </i>
    <i>
      <x v="1"/>
    </i>
    <i>
      <x v="2"/>
    </i>
    <i t="grand">
      <x/>
    </i>
  </rowItems>
  <colFields count="1">
    <field x="-2"/>
  </colFields>
  <colItems count="3">
    <i>
      <x/>
    </i>
    <i i="1">
      <x v="1"/>
    </i>
    <i i="2">
      <x v="2"/>
    </i>
  </colItems>
  <dataFields count="3">
    <dataField name="Cuenta de ID_Registro" fld="1" subtotal="count" baseField="0" baseItem="0"/>
    <dataField name="Suma de Diferencia_CLP" fld="11" baseField="0" baseItem="0"/>
    <dataField name="Suma de Monto_Neto_CLP"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2D1312-9406-46D8-9FEA-95A3854089CB}" name="TablaDinámica3" cacheId="4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D6" firstHeaderRow="0" firstDataRow="1" firstDataCol="1"/>
  <pivotFields count="18">
    <pivotField showAll="0"/>
    <pivotField dataField="1" showAll="0"/>
    <pivotField numFmtId="14"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3">
        <item x="1"/>
        <item x="0"/>
        <item t="default"/>
      </items>
    </pivotField>
    <pivotField showAll="0"/>
    <pivotField dataField="1" showAll="0"/>
  </pivotFields>
  <rowFields count="1">
    <field x="15"/>
  </rowFields>
  <rowItems count="3">
    <i>
      <x/>
    </i>
    <i>
      <x v="1"/>
    </i>
    <i t="grand">
      <x/>
    </i>
  </rowItems>
  <colFields count="1">
    <field x="-2"/>
  </colFields>
  <colItems count="3">
    <i>
      <x/>
    </i>
    <i i="1">
      <x v="1"/>
    </i>
    <i i="2">
      <x v="2"/>
    </i>
  </colItems>
  <dataFields count="3">
    <dataField name="Cuenta de ID_Registro" fld="1" subtotal="count" baseField="0" baseItem="0"/>
    <dataField name="Suma de Monto_Neto_CLP" fld="7" baseField="0" baseItem="0"/>
    <dataField name="Suma de Monto_Duplicado_Potencial"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7" xr16:uid="{3D96463A-B7C4-43CE-B722-14540AACA364}"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4" connectionId="3" xr16:uid="{4738D282-EEEA-484D-B20D-2B5F90C0049A}" autoFormatId="16" applyNumberFormats="0" applyBorderFormats="0" applyFontFormats="0" applyPatternFormats="0" applyAlignmentFormats="0" applyWidthHeightFormats="0">
  <queryTableRefresh nextId="19">
    <queryTableFields count="18">
      <queryTableField id="1" name="Source.Name" tableColumnId="1"/>
      <queryTableField id="2" name="ID_Registro" tableColumnId="2"/>
      <queryTableField id="3" name="Fecha_Emision" tableColumnId="3"/>
      <queryTableField id="4" name="Codigo_Proveedor" tableColumnId="4"/>
      <queryTableField id="5" name="Tipo_Documento" tableColumnId="5"/>
      <queryTableField id="6" name="Folio" tableColumnId="6"/>
      <queryTableField id="7" name="Orden_Compra" tableColumnId="7"/>
      <queryTableField id="8" name="Monto_Neto_CLP" tableColumnId="8"/>
      <queryTableField id="9" name="Proveedores.Proveedor" tableColumnId="9"/>
      <queryTableField id="10" name="Proveedores.Categoria" tableColumnId="10"/>
      <queryTableField id="11" name="Monto_Autorizado_Neto_CLP" tableColumnId="11"/>
      <queryTableField id="12" name="Diferencia_CLP" tableColumnId="12"/>
      <queryTableField id="13" name="Estado_control" tableColumnId="13"/>
      <queryTableField id="14" name="Estado_Proveedor" tableColumnId="14"/>
      <queryTableField id="15" name="Cantidad_Registros" tableColumnId="15"/>
      <queryTableField id="16" name="Estado_Duplicado" tableColumnId="16"/>
      <queryTableField id="17" name="Resultado_Revision" tableColumnId="17"/>
      <queryTableField id="18" name="Monto_Duplicado_Potencial"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3" connectionId="2" xr16:uid="{26DF395B-5225-40F9-978B-BE860A328712}" autoFormatId="16" applyNumberFormats="0" applyBorderFormats="0" applyFontFormats="0" applyPatternFormats="0" applyAlignmentFormats="0" applyWidthHeightFormats="0">
  <queryTableRefresh nextId="6">
    <queryTableFields count="5">
      <queryTableField id="1" name="Codigo_Proveedor" tableColumnId="1"/>
      <queryTableField id="2" name="Tipo_Documento" tableColumnId="2"/>
      <queryTableField id="3" name="Folio" tableColumnId="3"/>
      <queryTableField id="4" name="Fecha_Emision" tableColumnId="4"/>
      <queryTableField id="5" name="Cantidad_Registros"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2" connectionId="5" xr16:uid="{7FCD2A20-B729-4FF0-9E0F-FD6C70C50498}" autoFormatId="16" applyNumberFormats="0" applyBorderFormats="0" applyFontFormats="0" applyPatternFormats="0" applyAlignmentFormats="0" applyWidthHeightFormats="0">
  <queryTableRefresh nextId="15">
    <queryTableFields count="14">
      <queryTableField id="1" name="Source.Name" tableColumnId="1"/>
      <queryTableField id="2" name="ID_Registro" tableColumnId="2"/>
      <queryTableField id="3" name="Fecha_Emision" tableColumnId="3"/>
      <queryTableField id="4" name="Codigo_Proveedor" tableColumnId="4"/>
      <queryTableField id="5" name="Tipo_Documento" tableColumnId="5"/>
      <queryTableField id="6" name="Folio" tableColumnId="6"/>
      <queryTableField id="7" name="Orden_Compra" tableColumnId="7"/>
      <queryTableField id="8" name="Monto_Neto_CLP" tableColumnId="8"/>
      <queryTableField id="9" name="Proveedores.Proveedor" tableColumnId="9"/>
      <queryTableField id="10" name="Proveedores.Categoria" tableColumnId="10"/>
      <queryTableField id="11" name="Monto_Autorizado_Neto_CLP" tableColumnId="11"/>
      <queryTableField id="12" name="Diferencia_CLP" tableColumnId="12"/>
      <queryTableField id="13" name="Estado_control" tableColumnId="13"/>
      <queryTableField id="14" name="Estado_Proveedor"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1" connectionId="6" xr16:uid="{912FDBA6-ED6B-4064-BB29-E2E6AD931B8A}" autoFormatId="16" applyNumberFormats="0" applyBorderFormats="0" applyFontFormats="0" applyPatternFormats="0" applyAlignmentFormats="0" applyWidthHeightFormats="0">
  <queryTableRefresh nextId="13">
    <queryTableFields count="12">
      <queryTableField id="1" name="ID_Registro" tableColumnId="1"/>
      <queryTableField id="2" name="Fecha_Emision" tableColumnId="2"/>
      <queryTableField id="3" name="Codigo_Proveedor" tableColumnId="3"/>
      <queryTableField id="4" name="Tipo_Documento" tableColumnId="4"/>
      <queryTableField id="5" name="Folio" tableColumnId="5"/>
      <queryTableField id="6" name="Orden_Compra" tableColumnId="6"/>
      <queryTableField id="7" name="Monto_Neto_CLP" tableColumnId="7"/>
      <queryTableField id="8" name="Proveedores.Proveedor" tableColumnId="8"/>
      <queryTableField id="9" name="Proveedores.Categoria" tableColumnId="9"/>
      <queryTableField id="10" name="Ordenes_Compra.Monto_Autorizado_Neto_CLP" tableColumnId="10"/>
      <queryTableField id="11" name="Diferencia_CLP" tableColumnId="11"/>
      <queryTableField id="12" name="Estado_control"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osExternos_1" connectionId="10" xr16:uid="{7FF9C8C6-4982-4DAA-A4DC-8EBFD9E1054F}" autoFormatId="16" applyNumberFormats="0" applyBorderFormats="0" applyFontFormats="0" applyPatternFormats="0" applyAlignmentFormats="0" applyWidthHeightFormats="0">
  <queryTableRefresh nextId="4">
    <queryTableFields count="3">
      <queryTableField id="1" name="CODIGO_PROVEEDOR" tableColumnId="1"/>
      <queryTableField id="2" name="Proveedor" tableColumnId="2"/>
      <queryTableField id="3" name="Categoria"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atosExternos_1" connectionId="8" xr16:uid="{831A57D2-6385-4D8E-93DA-6158444E7B19}" autoFormatId="16" applyNumberFormats="0" applyBorderFormats="0" applyFontFormats="0" applyPatternFormats="0" applyAlignmentFormats="0" applyWidthHeightFormats="0">
  <queryTableRefresh nextId="5">
    <queryTableFields count="4">
      <queryTableField id="1" name="Orden_Compra" tableColumnId="1"/>
      <queryTableField id="2" name="Codigo_Proveedor" tableColumnId="2"/>
      <queryTableField id="3" name="Fecha_OC" tableColumnId="3"/>
      <queryTableField id="4" name="Monto_Autorizado_Neto_CLP"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66417C-0EB7-4EDE-9791-65D459CA3BCB}" name="LEEME" displayName="LEEME" ref="A1:A19" tableType="queryTable" totalsRowShown="0">
  <autoFilter ref="A1:A19" xr:uid="{A066417C-0EB7-4EDE-9791-65D459CA3BCB}"/>
  <tableColumns count="1">
    <tableColumn id="1" xr3:uid="{0F99AC99-9175-499F-8A9A-55A7342BDFCE}" uniqueName="1" name="Column1" queryTableFieldId="1" dataDxfId="3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A1AC05B-B8E5-487F-ACFE-3E7642C94AB5}" name="Tabla1" displayName="Tabla1" ref="B2:C8" totalsRowShown="0">
  <autoFilter ref="B2:C8" xr:uid="{3A1AC05B-B8E5-487F-ACFE-3E7642C94AB5}"/>
  <tableColumns count="2">
    <tableColumn id="1" xr3:uid="{A3ECE54D-060E-403D-97EB-DE3B9D209278}" name="Indicador" dataDxfId="37"/>
    <tableColumn id="2" xr3:uid="{6BACD1F8-46B8-417D-A79E-3B93E2D763BC}" name="Resultado" dataDxfId="36" dataCellStyle="Millares [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BE8A5E3-8C64-431C-9CA9-AD3773137B34}" name="Control_Facturas" displayName="Control_Facturas" ref="A1:R38" tableType="queryTable" totalsRowShown="0">
  <autoFilter ref="A1:R38" xr:uid="{7BE8A5E3-8C64-431C-9CA9-AD3773137B34}"/>
  <tableColumns count="18">
    <tableColumn id="1" xr3:uid="{A361661E-1815-47FB-AC55-F0DACCD3E291}" uniqueName="1" name="Source.Name" queryTableFieldId="1" dataDxfId="14"/>
    <tableColumn id="2" xr3:uid="{FEA05A9A-64B3-4D19-A21B-EB3E85DDC1CA}" uniqueName="2" name="ID_Registro" queryTableFieldId="2" dataDxfId="13"/>
    <tableColumn id="3" xr3:uid="{8205830F-9DF5-4CDA-B536-EB1C47C6ACA1}" uniqueName="3" name="Fecha_Emision" queryTableFieldId="3" dataDxfId="12"/>
    <tableColumn id="4" xr3:uid="{8FDBB857-FF1F-4B09-906A-05C558ACF393}" uniqueName="4" name="Codigo_Proveedor" queryTableFieldId="4" dataDxfId="11"/>
    <tableColumn id="5" xr3:uid="{FADF5953-0610-4E41-9A3A-71A5B5890C70}" uniqueName="5" name="Tipo_Documento" queryTableFieldId="5" dataDxfId="10"/>
    <tableColumn id="6" xr3:uid="{EF58795A-A183-40F7-9F2F-4072E9E7E8D9}" uniqueName="6" name="Folio" queryTableFieldId="6" dataDxfId="9"/>
    <tableColumn id="7" xr3:uid="{5F3E75AB-361A-488E-9B2A-B55B732DBFB1}" uniqueName="7" name="Orden_Compra" queryTableFieldId="7" dataDxfId="8"/>
    <tableColumn id="8" xr3:uid="{776EA354-926F-4B0A-90C9-642FE34006DE}" uniqueName="8" name="Monto_Neto_CLP" queryTableFieldId="8"/>
    <tableColumn id="9" xr3:uid="{9CD6A4B4-FC3B-44BD-A685-B7503E3DE213}" uniqueName="9" name="Proveedores.Proveedor" queryTableFieldId="9" dataDxfId="7"/>
    <tableColumn id="10" xr3:uid="{70C955EB-9F86-44E8-A67B-94DCAC3CD89E}" uniqueName="10" name="Proveedores.Categoria" queryTableFieldId="10" dataDxfId="6"/>
    <tableColumn id="11" xr3:uid="{0522AF75-BBAE-4518-B11B-4DE23FD17EE6}" uniqueName="11" name="Monto_Autorizado_Neto_CLP" queryTableFieldId="11"/>
    <tableColumn id="12" xr3:uid="{447D9712-82CC-47C9-ADCF-D0568C45E479}" uniqueName="12" name="Diferencia_CLP" queryTableFieldId="12"/>
    <tableColumn id="13" xr3:uid="{F997B248-956A-4115-997B-FAAB5A28B387}" uniqueName="13" name="Estado_control" queryTableFieldId="13"/>
    <tableColumn id="14" xr3:uid="{322CCE7E-7098-4F2E-AE6F-E34D5B5B764F}" uniqueName="14" name="Estado_Proveedor" queryTableFieldId="14"/>
    <tableColumn id="15" xr3:uid="{FFE42A86-DCFB-4D2D-BED2-96274875FCEC}" uniqueName="15" name="Cantidad_Registros" queryTableFieldId="15"/>
    <tableColumn id="16" xr3:uid="{B1338F43-7B1D-490A-B04B-A17597EF15AE}" uniqueName="16" name="Estado_Duplicado" queryTableFieldId="16"/>
    <tableColumn id="17" xr3:uid="{4E7DDA73-956A-4840-89E0-AA09731C9055}" uniqueName="17" name="Resultado_Revision" queryTableFieldId="17"/>
    <tableColumn id="18" xr3:uid="{5DC3E43D-94CB-4B5A-B7F3-9A2C9903A06F}" uniqueName="18" name="Monto_Duplicado_Potencial"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CDC584B-5C93-46A8-BC00-7A60FB8A91AE}" name="Conteo_documentos" displayName="Conteo_documentos" ref="A1:E37" tableType="queryTable" totalsRowShown="0">
  <autoFilter ref="A1:E37" xr:uid="{BCDC584B-5C93-46A8-BC00-7A60FB8A91AE}"/>
  <tableColumns count="5">
    <tableColumn id="1" xr3:uid="{5C9D53B6-AA48-4548-A894-97F826BBD384}" uniqueName="1" name="Codigo_Proveedor" queryTableFieldId="1" dataDxfId="4"/>
    <tableColumn id="2" xr3:uid="{20434725-C679-4CEA-8E5A-30C2A37B5812}" uniqueName="2" name="Tipo_Documento" queryTableFieldId="2" dataDxfId="3"/>
    <tableColumn id="3" xr3:uid="{02FC582E-196E-4847-9AAF-F1D3A06FC05E}" uniqueName="3" name="Folio" queryTableFieldId="3" dataDxfId="2"/>
    <tableColumn id="4" xr3:uid="{752AD9B1-37DA-40DA-ADEC-F6E91D7ABED1}" uniqueName="4" name="Fecha_Emision" queryTableFieldId="4" dataDxfId="1"/>
    <tableColumn id="5" xr3:uid="{03674666-1337-49A0-80B3-E25AC6346581}" uniqueName="5" name="Cantidad_Registros"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979F177-7DE6-4FE6-BDBA-78092C821157}" name="Facturas_Consolidadas" displayName="Facturas_Consolidadas" ref="A1:N38" tableType="queryTable" totalsRowShown="0">
  <autoFilter ref="A1:N38" xr:uid="{D979F177-7DE6-4FE6-BDBA-78092C821157}"/>
  <tableColumns count="14">
    <tableColumn id="1" xr3:uid="{A61FE0E8-D823-45DC-A783-428D5FF7FE40}" uniqueName="1" name="Source.Name" queryTableFieldId="1" dataDxfId="23"/>
    <tableColumn id="2" xr3:uid="{4A1600F4-3FC6-4C45-813E-0B670D72A05D}" uniqueName="2" name="ID_Registro" queryTableFieldId="2" dataDxfId="22"/>
    <tableColumn id="3" xr3:uid="{12E89A08-C9EA-424B-A5B1-6F798575E82D}" uniqueName="3" name="Fecha_Emision" queryTableFieldId="3" dataDxfId="21"/>
    <tableColumn id="4" xr3:uid="{5C243BD5-B97D-4E34-9CB2-0D595F418A30}" uniqueName="4" name="Codigo_Proveedor" queryTableFieldId="4" dataDxfId="20"/>
    <tableColumn id="5" xr3:uid="{0CBDACF0-A626-450F-868F-FCF4BD55A38B}" uniqueName="5" name="Tipo_Documento" queryTableFieldId="5" dataDxfId="19"/>
    <tableColumn id="6" xr3:uid="{D39B532A-2946-4669-A52C-16243BE9052B}" uniqueName="6" name="Folio" queryTableFieldId="6" dataDxfId="18"/>
    <tableColumn id="7" xr3:uid="{A24F4FD3-53B8-43E5-90A4-FA2E0E1EA8FE}" uniqueName="7" name="Orden_Compra" queryTableFieldId="7" dataDxfId="17"/>
    <tableColumn id="8" xr3:uid="{95012CEB-600D-4E04-B78E-8446A590F27C}" uniqueName="8" name="Monto_Neto_CLP" queryTableFieldId="8"/>
    <tableColumn id="9" xr3:uid="{665C3DDA-B38D-4BF5-8112-97E316F238A1}" uniqueName="9" name="Proveedores.Proveedor" queryTableFieldId="9" dataDxfId="16"/>
    <tableColumn id="10" xr3:uid="{261EDD09-2947-49D5-BE90-079E9145BC04}" uniqueName="10" name="Proveedores.Categoria" queryTableFieldId="10" dataDxfId="15"/>
    <tableColumn id="11" xr3:uid="{54FECDB1-26F6-45E3-A675-4DFF72E006C5}" uniqueName="11" name="Monto_Autorizado_Neto_CLP" queryTableFieldId="11"/>
    <tableColumn id="12" xr3:uid="{C1BA823C-BAF7-4150-BC09-EFA92985552B}" uniqueName="12" name="Diferencia_CLP" queryTableFieldId="12"/>
    <tableColumn id="13" xr3:uid="{41663916-45EE-40ED-9081-B3C9BE866680}" uniqueName="13" name="Estado_control" queryTableFieldId="13"/>
    <tableColumn id="14" xr3:uid="{F74C32D3-6562-4059-B3CD-14D5FD9369CB}" uniqueName="14" name="Estado_Proveedor" queryTableFieldId="1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282131-D7FA-4062-BE34-554DA3D2E66C}" name="Facturas_Julio" displayName="Facturas_Julio" ref="A1:L14" tableType="queryTable" totalsRowCount="1">
  <autoFilter ref="A1:L13" xr:uid="{E4282131-D7FA-4062-BE34-554DA3D2E66C}"/>
  <tableColumns count="12">
    <tableColumn id="1" xr3:uid="{E6B80B65-D6DE-4064-BD7F-4DD63A83AD3F}" uniqueName="1" name="ID_Registro" totalsRowLabel="Total" queryTableFieldId="1" dataDxfId="35"/>
    <tableColumn id="2" xr3:uid="{0568695A-2607-4EB5-9C97-65D9D4711514}" uniqueName="2" name="Fecha_Emision" queryTableFieldId="2" dataDxfId="0"/>
    <tableColumn id="3" xr3:uid="{E2547842-12D2-41D6-A86C-99B8DD4EC226}" uniqueName="3" name="Codigo_Proveedor" queryTableFieldId="3" dataDxfId="34"/>
    <tableColumn id="4" xr3:uid="{CDA2F033-8E33-4EB1-A6C5-AD22B61614D8}" uniqueName="4" name="Tipo_Documento" queryTableFieldId="4" dataDxfId="33"/>
    <tableColumn id="5" xr3:uid="{7593F2E6-3048-4213-95AD-E98F0EC96D2A}" uniqueName="5" name="Folio" queryTableFieldId="5" dataDxfId="32"/>
    <tableColumn id="6" xr3:uid="{1B0605E6-0196-4B76-B9AC-5E97880DA55E}" uniqueName="6" name="Orden_Compra" queryTableFieldId="6" dataDxfId="31"/>
    <tableColumn id="7" xr3:uid="{E52AAAC0-BB18-4A03-9E00-7317AA8622C2}" uniqueName="7" name="Monto_Neto_CLP" totalsRowFunction="sum" queryTableFieldId="7"/>
    <tableColumn id="8" xr3:uid="{B933773D-BB9B-434A-87A9-820897C9C0F1}" uniqueName="8" name="Proveedores.Proveedor" queryTableFieldId="8" dataDxfId="30"/>
    <tableColumn id="9" xr3:uid="{1DA77ECC-2EA1-41CA-98CC-BFFB5959458F}" uniqueName="9" name="Proveedores.Categoria" queryTableFieldId="9" dataDxfId="29"/>
    <tableColumn id="10" xr3:uid="{277A2E30-FB42-4AEB-AAA3-DB9318D37FC9}" uniqueName="10" name="Ordenes_Compra.Monto_Autorizado_Neto_CLP" queryTableFieldId="10"/>
    <tableColumn id="11" xr3:uid="{96742A4D-5EE7-4D22-AC8C-6EB10E89DC01}" uniqueName="11" name="Diferencia_CLP" queryTableFieldId="11"/>
    <tableColumn id="12" xr3:uid="{A91AE47B-745C-42C5-9335-1A97DF4AA468}" uniqueName="12" name="Estado_control" queryTableFieldId="1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C6309C-4713-4F0C-B02C-099702993D18}" name="Proveedores" displayName="Proveedores" ref="A1:C7" tableType="queryTable" totalsRowShown="0">
  <autoFilter ref="A1:C7" xr:uid="{EFC6309C-4713-4F0C-B02C-099702993D18}"/>
  <tableColumns count="3">
    <tableColumn id="1" xr3:uid="{65E68238-7D43-46D8-B22A-2EA1CDC30E42}" uniqueName="1" name="CODIGO_PROVEEDOR" queryTableFieldId="1" dataDxfId="28"/>
    <tableColumn id="2" xr3:uid="{928583B5-82AD-49F5-8705-0A8015E42775}" uniqueName="2" name="Proveedor" queryTableFieldId="2" dataDxfId="27"/>
    <tableColumn id="3" xr3:uid="{339CA6B3-84F8-4BD2-8E8C-B766E74BB41B}" uniqueName="3" name="Categoria" queryTableFieldId="3" dataDxfId="2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2FEB969-EDF3-4F8D-95C3-CE1B32DDE713}" name="Ordenes_Compra" displayName="Ordenes_Compra" ref="A1:D37" tableType="queryTable" totalsRowShown="0">
  <autoFilter ref="A1:D37" xr:uid="{12FEB969-EDF3-4F8D-95C3-CE1B32DDE713}"/>
  <tableColumns count="4">
    <tableColumn id="1" xr3:uid="{0A598F5E-5137-4A61-87CD-5ABEBFC6F937}" uniqueName="1" name="Orden_Compra" queryTableFieldId="1" dataDxfId="25"/>
    <tableColumn id="2" xr3:uid="{C60DE709-A282-4D56-9FE9-1803F1CDA2AB}" uniqueName="2" name="Codigo_Proveedor" queryTableFieldId="2" dataDxfId="24"/>
    <tableColumn id="3" xr3:uid="{5E2CFC61-6378-4D8E-A839-7894EB19986B}" uniqueName="3" name="Fecha_OC" queryTableFieldId="3" dataDxfId="5"/>
    <tableColumn id="4" xr3:uid="{762E800F-024B-4F0A-862C-2EE4BC5C1150}" uniqueName="4" name="Monto_Autorizado_Neto_CLP" queryTableFieldId="4"/>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F322-2E6C-43D0-BE0B-92724B522166}">
  <dimension ref="A1:A19"/>
  <sheetViews>
    <sheetView workbookViewId="0"/>
  </sheetViews>
  <sheetFormatPr baseColWidth="10" defaultRowHeight="14.4" x14ac:dyDescent="0.3"/>
  <cols>
    <col min="1" max="1" width="80.88671875" bestFit="1" customWidth="1"/>
  </cols>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3</v>
      </c>
    </row>
    <row r="7" spans="1:1" x14ac:dyDescent="0.3">
      <c r="A7" t="s">
        <v>5</v>
      </c>
    </row>
    <row r="8" spans="1:1" x14ac:dyDescent="0.3">
      <c r="A8" t="s">
        <v>3</v>
      </c>
    </row>
    <row r="9" spans="1:1" x14ac:dyDescent="0.3">
      <c r="A9" t="s">
        <v>6</v>
      </c>
    </row>
    <row r="10" spans="1:1" x14ac:dyDescent="0.3">
      <c r="A10" t="s">
        <v>7</v>
      </c>
    </row>
    <row r="11" spans="1:1" x14ac:dyDescent="0.3">
      <c r="A11" t="s">
        <v>8</v>
      </c>
    </row>
    <row r="12" spans="1:1" x14ac:dyDescent="0.3">
      <c r="A12" t="s">
        <v>3</v>
      </c>
    </row>
    <row r="13" spans="1:1" x14ac:dyDescent="0.3">
      <c r="A13" t="s">
        <v>9</v>
      </c>
    </row>
    <row r="14" spans="1:1" x14ac:dyDescent="0.3">
      <c r="A14" t="s">
        <v>3</v>
      </c>
    </row>
    <row r="15" spans="1:1" x14ac:dyDescent="0.3">
      <c r="A15" t="s">
        <v>10</v>
      </c>
    </row>
    <row r="16" spans="1:1" x14ac:dyDescent="0.3">
      <c r="A16" t="s">
        <v>11</v>
      </c>
    </row>
    <row r="17" spans="1:1" x14ac:dyDescent="0.3">
      <c r="A17" t="s">
        <v>3</v>
      </c>
    </row>
    <row r="18" spans="1:1" x14ac:dyDescent="0.3">
      <c r="A18" t="s">
        <v>12</v>
      </c>
    </row>
    <row r="19" spans="1:1" x14ac:dyDescent="0.3">
      <c r="A19"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9DB2F-3096-48A1-824E-60C173861993}">
  <dimension ref="A3:D6"/>
  <sheetViews>
    <sheetView workbookViewId="0">
      <selection activeCell="A3" sqref="A3"/>
    </sheetView>
  </sheetViews>
  <sheetFormatPr baseColWidth="10" defaultRowHeight="14.4" x14ac:dyDescent="0.3"/>
  <cols>
    <col min="1" max="1" width="16.5546875" bestFit="1" customWidth="1"/>
    <col min="2" max="2" width="19.109375" bestFit="1" customWidth="1"/>
    <col min="3" max="3" width="20.109375" bestFit="1" customWidth="1"/>
    <col min="4" max="4" width="21.33203125" bestFit="1" customWidth="1"/>
  </cols>
  <sheetData>
    <row r="3" spans="1:4" x14ac:dyDescent="0.3">
      <c r="A3" s="3" t="s">
        <v>155</v>
      </c>
      <c r="B3" t="s">
        <v>157</v>
      </c>
      <c r="C3" t="s">
        <v>158</v>
      </c>
      <c r="D3" t="s">
        <v>159</v>
      </c>
    </row>
    <row r="4" spans="1:4" x14ac:dyDescent="0.3">
      <c r="A4" s="4" t="s">
        <v>153</v>
      </c>
      <c r="B4" s="30">
        <v>7</v>
      </c>
      <c r="C4" s="5">
        <v>0.1891891891891892</v>
      </c>
      <c r="D4" s="30">
        <v>40000</v>
      </c>
    </row>
    <row r="5" spans="1:4" x14ac:dyDescent="0.3">
      <c r="A5" s="4" t="s">
        <v>152</v>
      </c>
      <c r="B5" s="30">
        <v>30</v>
      </c>
      <c r="C5" s="5">
        <v>0.81081081081081086</v>
      </c>
      <c r="D5" s="30">
        <v>0</v>
      </c>
    </row>
    <row r="6" spans="1:4" x14ac:dyDescent="0.3">
      <c r="A6" s="4" t="s">
        <v>156</v>
      </c>
      <c r="B6" s="30">
        <v>37</v>
      </c>
      <c r="C6" s="5">
        <v>1</v>
      </c>
      <c r="D6" s="30">
        <v>40000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BCF53-93AB-48F8-B1DF-26903B74EA33}">
  <dimension ref="A3:D7"/>
  <sheetViews>
    <sheetView workbookViewId="0">
      <selection activeCell="C3" sqref="C3"/>
    </sheetView>
  </sheetViews>
  <sheetFormatPr baseColWidth="10" defaultRowHeight="14.4" x14ac:dyDescent="0.3"/>
  <cols>
    <col min="1" max="1" width="16.5546875" bestFit="1" customWidth="1"/>
    <col min="2" max="2" width="19.109375" bestFit="1" customWidth="1"/>
    <col min="3" max="3" width="21.33203125" bestFit="1" customWidth="1"/>
    <col min="4" max="4" width="22.6640625" bestFit="1" customWidth="1"/>
  </cols>
  <sheetData>
    <row r="3" spans="1:4" x14ac:dyDescent="0.3">
      <c r="A3" s="3" t="s">
        <v>155</v>
      </c>
      <c r="B3" t="s">
        <v>157</v>
      </c>
      <c r="C3" t="s">
        <v>159</v>
      </c>
      <c r="D3" t="s">
        <v>160</v>
      </c>
    </row>
    <row r="4" spans="1:4" x14ac:dyDescent="0.3">
      <c r="A4" s="4" t="s">
        <v>85</v>
      </c>
      <c r="B4" s="30">
        <v>33</v>
      </c>
      <c r="C4" s="30">
        <v>0</v>
      </c>
      <c r="D4" s="30">
        <v>5515000</v>
      </c>
    </row>
    <row r="5" spans="1:4" x14ac:dyDescent="0.3">
      <c r="A5" s="4" t="s">
        <v>86</v>
      </c>
      <c r="B5" s="30">
        <v>2</v>
      </c>
      <c r="C5" s="30">
        <v>40000</v>
      </c>
      <c r="D5" s="30">
        <v>457500</v>
      </c>
    </row>
    <row r="6" spans="1:4" x14ac:dyDescent="0.3">
      <c r="A6" s="4" t="s">
        <v>129</v>
      </c>
      <c r="B6" s="30">
        <v>2</v>
      </c>
      <c r="C6" s="30"/>
      <c r="D6" s="30">
        <v>335000</v>
      </c>
    </row>
    <row r="7" spans="1:4" x14ac:dyDescent="0.3">
      <c r="A7" s="4" t="s">
        <v>156</v>
      </c>
      <c r="B7" s="30">
        <v>37</v>
      </c>
      <c r="C7" s="30">
        <v>40000</v>
      </c>
      <c r="D7" s="30">
        <v>6307500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D1172-4A9D-4851-B4AF-5EB694785F22}">
  <dimension ref="A3:D6"/>
  <sheetViews>
    <sheetView workbookViewId="0">
      <selection activeCell="F11" sqref="F11"/>
    </sheetView>
  </sheetViews>
  <sheetFormatPr baseColWidth="10" defaultRowHeight="14.4" x14ac:dyDescent="0.3"/>
  <cols>
    <col min="1" max="1" width="16.5546875" bestFit="1" customWidth="1"/>
    <col min="2" max="2" width="19.109375" bestFit="1" customWidth="1"/>
    <col min="3" max="3" width="22.6640625" bestFit="1" customWidth="1"/>
    <col min="4" max="4" width="32.109375" bestFit="1" customWidth="1"/>
  </cols>
  <sheetData>
    <row r="3" spans="1:4" x14ac:dyDescent="0.3">
      <c r="A3" s="3" t="s">
        <v>155</v>
      </c>
      <c r="B3" t="s">
        <v>157</v>
      </c>
      <c r="C3" t="s">
        <v>160</v>
      </c>
      <c r="D3" t="s">
        <v>173</v>
      </c>
    </row>
    <row r="4" spans="1:4" x14ac:dyDescent="0.3">
      <c r="A4" s="4" t="s">
        <v>154</v>
      </c>
      <c r="B4" s="30">
        <v>2</v>
      </c>
      <c r="C4" s="30">
        <v>205000</v>
      </c>
      <c r="D4" s="30">
        <v>102500</v>
      </c>
    </row>
    <row r="5" spans="1:4" x14ac:dyDescent="0.3">
      <c r="A5" s="4" t="s">
        <v>151</v>
      </c>
      <c r="B5" s="30">
        <v>35</v>
      </c>
      <c r="C5" s="30">
        <v>6102500</v>
      </c>
      <c r="D5" s="30">
        <v>0</v>
      </c>
    </row>
    <row r="6" spans="1:4" x14ac:dyDescent="0.3">
      <c r="A6" s="4" t="s">
        <v>156</v>
      </c>
      <c r="B6" s="30">
        <v>37</v>
      </c>
      <c r="C6" s="30">
        <v>6307500</v>
      </c>
      <c r="D6" s="30">
        <v>102500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2E770-F1F3-4C33-A59F-C8335151BA51}">
  <sheetPr>
    <tabColor theme="6" tint="0.79998168889431442"/>
  </sheetPr>
  <dimension ref="A1:B7"/>
  <sheetViews>
    <sheetView workbookViewId="0">
      <selection activeCell="D12" sqref="D12"/>
    </sheetView>
  </sheetViews>
  <sheetFormatPr baseColWidth="10" defaultRowHeight="14.4" x14ac:dyDescent="0.3"/>
  <cols>
    <col min="1" max="1" width="10.77734375" bestFit="1" customWidth="1"/>
    <col min="2" max="2" width="49" customWidth="1"/>
  </cols>
  <sheetData>
    <row r="1" spans="1:2" x14ac:dyDescent="0.3">
      <c r="A1" s="14" t="s">
        <v>174</v>
      </c>
      <c r="B1" s="15" t="s">
        <v>175</v>
      </c>
    </row>
    <row r="2" spans="1:2" ht="28.8" customHeight="1" x14ac:dyDescent="0.3">
      <c r="A2" s="16" t="s">
        <v>176</v>
      </c>
      <c r="B2" s="17" t="s">
        <v>177</v>
      </c>
    </row>
    <row r="3" spans="1:2" ht="28.8" customHeight="1" x14ac:dyDescent="0.3">
      <c r="A3" s="16" t="s">
        <v>178</v>
      </c>
      <c r="B3" s="17" t="s">
        <v>179</v>
      </c>
    </row>
    <row r="4" spans="1:2" ht="28.8" customHeight="1" x14ac:dyDescent="0.3">
      <c r="A4" s="16" t="s">
        <v>180</v>
      </c>
      <c r="B4" s="17" t="s">
        <v>181</v>
      </c>
    </row>
    <row r="5" spans="1:2" ht="28.8" customHeight="1" x14ac:dyDescent="0.3">
      <c r="A5" s="16" t="s">
        <v>182</v>
      </c>
      <c r="B5" s="17" t="s">
        <v>183</v>
      </c>
    </row>
    <row r="6" spans="1:2" ht="28.8" customHeight="1" x14ac:dyDescent="0.3">
      <c r="A6" s="16" t="s">
        <v>184</v>
      </c>
      <c r="B6" s="17" t="s">
        <v>185</v>
      </c>
    </row>
    <row r="7" spans="1:2" ht="28.8" customHeight="1" thickBot="1" x14ac:dyDescent="0.35">
      <c r="A7" s="18" t="s">
        <v>186</v>
      </c>
      <c r="B7" s="19" t="s">
        <v>187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F5C87-25A6-40B8-BCCC-EAED97884B08}">
  <sheetPr>
    <tabColor theme="4" tint="0.39997558519241921"/>
  </sheetPr>
  <dimension ref="B1:E18"/>
  <sheetViews>
    <sheetView tabSelected="1" zoomScale="88" workbookViewId="0">
      <selection activeCell="G10" sqref="G10"/>
    </sheetView>
  </sheetViews>
  <sheetFormatPr baseColWidth="10" defaultRowHeight="14.4" x14ac:dyDescent="0.3"/>
  <cols>
    <col min="2" max="2" width="40" customWidth="1"/>
    <col min="3" max="3" width="11.5546875" style="9"/>
  </cols>
  <sheetData>
    <row r="1" spans="2:5" ht="15" thickBot="1" x14ac:dyDescent="0.35">
      <c r="B1" s="20" t="s">
        <v>170</v>
      </c>
      <c r="C1" s="21"/>
    </row>
    <row r="2" spans="2:5" x14ac:dyDescent="0.3">
      <c r="B2" s="6" t="s">
        <v>161</v>
      </c>
      <c r="C2" s="8" t="s">
        <v>162</v>
      </c>
    </row>
    <row r="3" spans="2:5" ht="14.4" customHeight="1" x14ac:dyDescent="0.3">
      <c r="B3" s="7" t="s">
        <v>163</v>
      </c>
      <c r="C3" s="10">
        <f>GETPIVOTDATA("Cuenta de ID_Registro",Hoja4!$A$3)</f>
        <v>37</v>
      </c>
    </row>
    <row r="4" spans="2:5" ht="14.4" customHeight="1" x14ac:dyDescent="0.3">
      <c r="B4" s="7" t="s">
        <v>164</v>
      </c>
      <c r="C4" s="10">
        <f>GETPIVOTDATA("Cuenta de ID_Registro",Hoja2!$A$3,"Resultado_Revision","Revisar")</f>
        <v>7</v>
      </c>
    </row>
    <row r="5" spans="2:5" ht="14.4" customHeight="1" x14ac:dyDescent="0.3">
      <c r="B5" s="7" t="s">
        <v>165</v>
      </c>
      <c r="C5" s="11">
        <f>GETPIVOTDATA("Cuenta de ID_Registro2",Hoja2!$A$3,"Resultado_Revision","Revisar")</f>
        <v>0.1891891891891892</v>
      </c>
      <c r="E5" s="10"/>
    </row>
    <row r="6" spans="2:5" ht="14.4" customHeight="1" x14ac:dyDescent="0.3">
      <c r="B6" s="7" t="s">
        <v>166</v>
      </c>
      <c r="C6" s="13">
        <f>GETPIVOTDATA("Suma de Diferencia_CLP",Hoja2!$A$3,"Resultado_Revision","Revisar")</f>
        <v>40000</v>
      </c>
    </row>
    <row r="7" spans="2:5" ht="14.4" customHeight="1" x14ac:dyDescent="0.3">
      <c r="B7" s="7" t="s">
        <v>167</v>
      </c>
      <c r="C7" s="13">
        <f>GETPIVOTDATA("Suma de Monto_Neto_CLP",Hoja3!$A$3,"Estado_control","Sin OC válida")</f>
        <v>335000</v>
      </c>
    </row>
    <row r="8" spans="2:5" ht="14.4" customHeight="1" x14ac:dyDescent="0.3">
      <c r="B8" s="7" t="s">
        <v>168</v>
      </c>
      <c r="C8" s="13">
        <f>GETPIVOTDATA("Suma de Monto_Neto_CLP",Hoja4!$A$3,"Estado_Duplicado","Posible duplicado")/2</f>
        <v>102500</v>
      </c>
    </row>
    <row r="9" spans="2:5" ht="15" thickBot="1" x14ac:dyDescent="0.35"/>
    <row r="10" spans="2:5" ht="15" thickBot="1" x14ac:dyDescent="0.35">
      <c r="B10" s="22" t="s">
        <v>171</v>
      </c>
      <c r="C10" s="23"/>
    </row>
    <row r="11" spans="2:5" ht="14.4" customHeight="1" x14ac:dyDescent="0.3">
      <c r="B11" s="24" t="s">
        <v>169</v>
      </c>
      <c r="C11" s="25"/>
    </row>
    <row r="12" spans="2:5" x14ac:dyDescent="0.3">
      <c r="B12" s="26"/>
      <c r="C12" s="27"/>
    </row>
    <row r="13" spans="2:5" x14ac:dyDescent="0.3">
      <c r="B13" s="26"/>
      <c r="C13" s="27"/>
      <c r="D13" s="2"/>
    </row>
    <row r="14" spans="2:5" x14ac:dyDescent="0.3">
      <c r="B14" s="26"/>
      <c r="C14" s="27"/>
      <c r="E14" s="2"/>
    </row>
    <row r="15" spans="2:5" x14ac:dyDescent="0.3">
      <c r="B15" s="26"/>
      <c r="C15" s="27"/>
    </row>
    <row r="16" spans="2:5" x14ac:dyDescent="0.3">
      <c r="B16" s="26"/>
      <c r="C16" s="27"/>
    </row>
    <row r="17" spans="2:3" ht="15" thickBot="1" x14ac:dyDescent="0.35">
      <c r="B17" s="28"/>
      <c r="C17" s="29"/>
    </row>
    <row r="18" spans="2:3" x14ac:dyDescent="0.3">
      <c r="B18" s="12"/>
      <c r="C18" s="12"/>
    </row>
  </sheetData>
  <mergeCells count="3">
    <mergeCell ref="B1:C1"/>
    <mergeCell ref="B10:C10"/>
    <mergeCell ref="B11:C17"/>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9BF1B-EEAF-4CAE-8B1B-5B4370A4E868}">
  <dimension ref="A1:R38"/>
  <sheetViews>
    <sheetView workbookViewId="0">
      <selection sqref="A1:Q38"/>
    </sheetView>
  </sheetViews>
  <sheetFormatPr baseColWidth="10" defaultRowHeight="14.4" x14ac:dyDescent="0.3"/>
  <cols>
    <col min="1" max="1" width="19" bestFit="1" customWidth="1"/>
    <col min="2" max="2" width="12.5546875" bestFit="1" customWidth="1"/>
    <col min="3" max="3" width="15.6640625" bestFit="1" customWidth="1"/>
    <col min="4" max="4" width="18.33203125" bestFit="1" customWidth="1"/>
    <col min="5" max="5" width="17.109375" bestFit="1" customWidth="1"/>
    <col min="6" max="6" width="7.33203125" bestFit="1" customWidth="1"/>
    <col min="7" max="7" width="15.77734375" bestFit="1" customWidth="1"/>
    <col min="8" max="8" width="17.109375" bestFit="1" customWidth="1"/>
    <col min="9" max="9" width="22.6640625" bestFit="1" customWidth="1"/>
    <col min="10" max="10" width="22.21875" bestFit="1" customWidth="1"/>
    <col min="11" max="11" width="27.109375" bestFit="1" customWidth="1"/>
    <col min="12" max="12" width="15.77734375" bestFit="1" customWidth="1"/>
    <col min="13" max="13" width="15.5546875" bestFit="1" customWidth="1"/>
    <col min="14" max="14" width="21.33203125" bestFit="1" customWidth="1"/>
    <col min="15" max="15" width="19.44140625" bestFit="1" customWidth="1"/>
    <col min="16" max="16" width="18.33203125" bestFit="1" customWidth="1"/>
    <col min="17" max="17" width="19.44140625" bestFit="1" customWidth="1"/>
    <col min="18" max="18" width="26.5546875" bestFit="1" customWidth="1"/>
  </cols>
  <sheetData>
    <row r="1" spans="1:18" x14ac:dyDescent="0.3">
      <c r="A1" s="2" t="s">
        <v>113</v>
      </c>
      <c r="B1" t="s">
        <v>14</v>
      </c>
      <c r="C1" t="s">
        <v>15</v>
      </c>
      <c r="D1" t="s">
        <v>16</v>
      </c>
      <c r="E1" t="s">
        <v>17</v>
      </c>
      <c r="F1" t="s">
        <v>18</v>
      </c>
      <c r="G1" t="s">
        <v>19</v>
      </c>
      <c r="H1" t="s">
        <v>20</v>
      </c>
      <c r="I1" t="s">
        <v>65</v>
      </c>
      <c r="J1" t="s">
        <v>66</v>
      </c>
      <c r="K1" t="s">
        <v>88</v>
      </c>
      <c r="L1" t="s">
        <v>83</v>
      </c>
      <c r="M1" t="s">
        <v>84</v>
      </c>
      <c r="N1" t="s">
        <v>114</v>
      </c>
      <c r="O1" t="s">
        <v>148</v>
      </c>
      <c r="P1" t="s">
        <v>149</v>
      </c>
      <c r="Q1" t="s">
        <v>150</v>
      </c>
      <c r="R1" t="s">
        <v>172</v>
      </c>
    </row>
    <row r="2" spans="1:18" x14ac:dyDescent="0.3">
      <c r="A2" s="30" t="s">
        <v>115</v>
      </c>
      <c r="B2" s="30" t="s">
        <v>21</v>
      </c>
      <c r="C2" s="1">
        <v>46206</v>
      </c>
      <c r="D2" s="30" t="s">
        <v>22</v>
      </c>
      <c r="E2" s="30" t="s">
        <v>23</v>
      </c>
      <c r="F2" s="30" t="s">
        <v>52</v>
      </c>
      <c r="G2" s="30" t="s">
        <v>24</v>
      </c>
      <c r="H2">
        <v>97500</v>
      </c>
      <c r="I2" s="30" t="s">
        <v>67</v>
      </c>
      <c r="J2" s="30" t="s">
        <v>68</v>
      </c>
      <c r="K2">
        <v>97500</v>
      </c>
      <c r="L2">
        <v>0</v>
      </c>
      <c r="M2" t="s">
        <v>85</v>
      </c>
      <c r="N2" t="s">
        <v>116</v>
      </c>
      <c r="O2">
        <v>1</v>
      </c>
      <c r="P2" t="s">
        <v>151</v>
      </c>
      <c r="Q2" t="s">
        <v>152</v>
      </c>
      <c r="R2">
        <v>0</v>
      </c>
    </row>
    <row r="3" spans="1:18" x14ac:dyDescent="0.3">
      <c r="A3" s="30" t="s">
        <v>115</v>
      </c>
      <c r="B3" s="30" t="s">
        <v>38</v>
      </c>
      <c r="C3" s="1">
        <v>46212</v>
      </c>
      <c r="D3" s="30" t="s">
        <v>22</v>
      </c>
      <c r="E3" s="30" t="s">
        <v>23</v>
      </c>
      <c r="F3" s="30" t="s">
        <v>58</v>
      </c>
      <c r="G3" s="30" t="s">
        <v>39</v>
      </c>
      <c r="H3">
        <v>172500</v>
      </c>
      <c r="I3" s="30" t="s">
        <v>67</v>
      </c>
      <c r="J3" s="30" t="s">
        <v>68</v>
      </c>
      <c r="K3">
        <v>172500</v>
      </c>
      <c r="L3">
        <v>0</v>
      </c>
      <c r="M3" t="s">
        <v>85</v>
      </c>
      <c r="N3" t="s">
        <v>116</v>
      </c>
      <c r="O3">
        <v>1</v>
      </c>
      <c r="P3" t="s">
        <v>151</v>
      </c>
      <c r="Q3" t="s">
        <v>152</v>
      </c>
      <c r="R3">
        <v>0</v>
      </c>
    </row>
    <row r="4" spans="1:18" x14ac:dyDescent="0.3">
      <c r="A4" s="30" t="s">
        <v>115</v>
      </c>
      <c r="B4" s="30" t="s">
        <v>25</v>
      </c>
      <c r="C4" s="1">
        <v>46207</v>
      </c>
      <c r="D4" s="30" t="s">
        <v>26</v>
      </c>
      <c r="E4" s="30" t="s">
        <v>23</v>
      </c>
      <c r="F4" s="30" t="s">
        <v>53</v>
      </c>
      <c r="G4" s="30" t="s">
        <v>27</v>
      </c>
      <c r="H4">
        <v>110000</v>
      </c>
      <c r="I4" s="30" t="s">
        <v>69</v>
      </c>
      <c r="J4" s="30" t="s">
        <v>70</v>
      </c>
      <c r="K4">
        <v>110000</v>
      </c>
      <c r="L4">
        <v>0</v>
      </c>
      <c r="M4" t="s">
        <v>85</v>
      </c>
      <c r="N4" t="s">
        <v>116</v>
      </c>
      <c r="O4">
        <v>1</v>
      </c>
      <c r="P4" t="s">
        <v>151</v>
      </c>
      <c r="Q4" t="s">
        <v>152</v>
      </c>
      <c r="R4">
        <v>0</v>
      </c>
    </row>
    <row r="5" spans="1:18" x14ac:dyDescent="0.3">
      <c r="A5" s="30" t="s">
        <v>115</v>
      </c>
      <c r="B5" s="30" t="s">
        <v>28</v>
      </c>
      <c r="C5" s="1">
        <v>46208</v>
      </c>
      <c r="D5" s="30" t="s">
        <v>43</v>
      </c>
      <c r="E5" s="30" t="s">
        <v>23</v>
      </c>
      <c r="F5" s="30" t="s">
        <v>54</v>
      </c>
      <c r="G5" s="30" t="s">
        <v>29</v>
      </c>
      <c r="H5">
        <v>122500</v>
      </c>
      <c r="I5" s="30" t="s">
        <v>71</v>
      </c>
      <c r="J5" s="30" t="s">
        <v>72</v>
      </c>
      <c r="K5">
        <v>122500</v>
      </c>
      <c r="L5">
        <v>0</v>
      </c>
      <c r="M5" t="s">
        <v>85</v>
      </c>
      <c r="N5" t="s">
        <v>116</v>
      </c>
      <c r="O5">
        <v>1</v>
      </c>
      <c r="P5" t="s">
        <v>151</v>
      </c>
      <c r="Q5" t="s">
        <v>152</v>
      </c>
      <c r="R5">
        <v>0</v>
      </c>
    </row>
    <row r="6" spans="1:18" x14ac:dyDescent="0.3">
      <c r="A6" s="30" t="s">
        <v>115</v>
      </c>
      <c r="B6" s="30" t="s">
        <v>30</v>
      </c>
      <c r="C6" s="1">
        <v>46209</v>
      </c>
      <c r="D6" s="30" t="s">
        <v>31</v>
      </c>
      <c r="E6" s="30" t="s">
        <v>23</v>
      </c>
      <c r="F6" s="30" t="s">
        <v>55</v>
      </c>
      <c r="G6" s="30" t="s">
        <v>32</v>
      </c>
      <c r="H6">
        <v>135000</v>
      </c>
      <c r="I6" s="30" t="s">
        <v>73</v>
      </c>
      <c r="J6" s="30" t="s">
        <v>74</v>
      </c>
      <c r="K6">
        <v>135000</v>
      </c>
      <c r="L6">
        <v>0</v>
      </c>
      <c r="M6" t="s">
        <v>85</v>
      </c>
      <c r="N6" t="s">
        <v>116</v>
      </c>
      <c r="O6">
        <v>1</v>
      </c>
      <c r="P6" t="s">
        <v>151</v>
      </c>
      <c r="Q6" t="s">
        <v>152</v>
      </c>
      <c r="R6">
        <v>0</v>
      </c>
    </row>
    <row r="7" spans="1:18" x14ac:dyDescent="0.3">
      <c r="A7" s="30" t="s">
        <v>115</v>
      </c>
      <c r="B7" s="30" t="s">
        <v>33</v>
      </c>
      <c r="C7" s="1">
        <v>46210</v>
      </c>
      <c r="D7" s="30" t="s">
        <v>34</v>
      </c>
      <c r="E7" s="30" t="s">
        <v>23</v>
      </c>
      <c r="F7" s="30" t="s">
        <v>56</v>
      </c>
      <c r="G7" s="30" t="s">
        <v>35</v>
      </c>
      <c r="H7">
        <v>147500</v>
      </c>
      <c r="I7" s="30" t="s">
        <v>75</v>
      </c>
      <c r="J7" s="30" t="s">
        <v>76</v>
      </c>
      <c r="K7">
        <v>147500</v>
      </c>
      <c r="L7">
        <v>0</v>
      </c>
      <c r="M7" t="s">
        <v>85</v>
      </c>
      <c r="N7" t="s">
        <v>116</v>
      </c>
      <c r="O7">
        <v>1</v>
      </c>
      <c r="P7" t="s">
        <v>151</v>
      </c>
      <c r="Q7" t="s">
        <v>152</v>
      </c>
      <c r="R7">
        <v>0</v>
      </c>
    </row>
    <row r="8" spans="1:18" x14ac:dyDescent="0.3">
      <c r="A8" s="30" t="s">
        <v>115</v>
      </c>
      <c r="B8" s="30" t="s">
        <v>36</v>
      </c>
      <c r="C8" s="1">
        <v>46211</v>
      </c>
      <c r="D8" s="30" t="s">
        <v>50</v>
      </c>
      <c r="E8" s="30" t="s">
        <v>23</v>
      </c>
      <c r="F8" s="30" t="s">
        <v>57</v>
      </c>
      <c r="G8" s="30" t="s">
        <v>37</v>
      </c>
      <c r="H8">
        <v>160000</v>
      </c>
      <c r="I8" s="30" t="s">
        <v>77</v>
      </c>
      <c r="J8" s="30" t="s">
        <v>78</v>
      </c>
      <c r="K8">
        <v>160000</v>
      </c>
      <c r="L8">
        <v>0</v>
      </c>
      <c r="M8" t="s">
        <v>85</v>
      </c>
      <c r="N8" t="s">
        <v>116</v>
      </c>
      <c r="O8">
        <v>1</v>
      </c>
      <c r="P8" t="s">
        <v>151</v>
      </c>
      <c r="Q8" t="s">
        <v>152</v>
      </c>
      <c r="R8">
        <v>0</v>
      </c>
    </row>
    <row r="9" spans="1:18" x14ac:dyDescent="0.3">
      <c r="A9" s="30" t="s">
        <v>115</v>
      </c>
      <c r="B9" s="30" t="s">
        <v>40</v>
      </c>
      <c r="C9" s="1">
        <v>46213</v>
      </c>
      <c r="D9" s="30" t="s">
        <v>26</v>
      </c>
      <c r="E9" s="30" t="s">
        <v>23</v>
      </c>
      <c r="F9" s="30" t="s">
        <v>59</v>
      </c>
      <c r="G9" s="30" t="s">
        <v>41</v>
      </c>
      <c r="H9">
        <v>185000</v>
      </c>
      <c r="I9" s="30" t="s">
        <v>69</v>
      </c>
      <c r="J9" s="30" t="s">
        <v>70</v>
      </c>
      <c r="K9">
        <v>185000</v>
      </c>
      <c r="L9">
        <v>0</v>
      </c>
      <c r="M9" t="s">
        <v>85</v>
      </c>
      <c r="N9" t="s">
        <v>116</v>
      </c>
      <c r="O9">
        <v>1</v>
      </c>
      <c r="P9" t="s">
        <v>151</v>
      </c>
      <c r="Q9" t="s">
        <v>152</v>
      </c>
      <c r="R9">
        <v>0</v>
      </c>
    </row>
    <row r="10" spans="1:18" x14ac:dyDescent="0.3">
      <c r="A10" s="30" t="s">
        <v>115</v>
      </c>
      <c r="B10" s="30" t="s">
        <v>42</v>
      </c>
      <c r="C10" s="1">
        <v>46214</v>
      </c>
      <c r="D10" s="30" t="s">
        <v>43</v>
      </c>
      <c r="E10" s="30" t="s">
        <v>23</v>
      </c>
      <c r="F10" s="30" t="s">
        <v>60</v>
      </c>
      <c r="G10" s="30" t="s">
        <v>44</v>
      </c>
      <c r="H10">
        <v>197500</v>
      </c>
      <c r="I10" s="30" t="s">
        <v>71</v>
      </c>
      <c r="J10" s="30" t="s">
        <v>72</v>
      </c>
      <c r="K10">
        <v>197500</v>
      </c>
      <c r="L10">
        <v>0</v>
      </c>
      <c r="M10" t="s">
        <v>85</v>
      </c>
      <c r="N10" t="s">
        <v>116</v>
      </c>
      <c r="O10">
        <v>1</v>
      </c>
      <c r="P10" t="s">
        <v>151</v>
      </c>
      <c r="Q10" t="s">
        <v>152</v>
      </c>
      <c r="R10">
        <v>0</v>
      </c>
    </row>
    <row r="11" spans="1:18" x14ac:dyDescent="0.3">
      <c r="A11" s="30" t="s">
        <v>115</v>
      </c>
      <c r="B11" s="30" t="s">
        <v>45</v>
      </c>
      <c r="C11" s="1">
        <v>46215</v>
      </c>
      <c r="D11" s="30" t="s">
        <v>31</v>
      </c>
      <c r="E11" s="30" t="s">
        <v>23</v>
      </c>
      <c r="F11" s="30" t="s">
        <v>61</v>
      </c>
      <c r="G11" s="30" t="s">
        <v>46</v>
      </c>
      <c r="H11">
        <v>225000</v>
      </c>
      <c r="I11" s="30" t="s">
        <v>73</v>
      </c>
      <c r="J11" s="30" t="s">
        <v>74</v>
      </c>
      <c r="K11">
        <v>210000</v>
      </c>
      <c r="L11">
        <v>15000</v>
      </c>
      <c r="M11" t="s">
        <v>86</v>
      </c>
      <c r="N11" t="s">
        <v>116</v>
      </c>
      <c r="O11">
        <v>1</v>
      </c>
      <c r="P11" t="s">
        <v>151</v>
      </c>
      <c r="Q11" t="s">
        <v>153</v>
      </c>
      <c r="R11">
        <v>0</v>
      </c>
    </row>
    <row r="12" spans="1:18" x14ac:dyDescent="0.3">
      <c r="A12" s="30" t="s">
        <v>115</v>
      </c>
      <c r="B12" s="30" t="s">
        <v>47</v>
      </c>
      <c r="C12" s="1">
        <v>46216</v>
      </c>
      <c r="D12" s="30" t="s">
        <v>34</v>
      </c>
      <c r="E12" s="30" t="s">
        <v>23</v>
      </c>
      <c r="F12" s="30" t="s">
        <v>62</v>
      </c>
      <c r="G12" s="30" t="s">
        <v>48</v>
      </c>
      <c r="H12">
        <v>222500</v>
      </c>
      <c r="I12" s="30" t="s">
        <v>75</v>
      </c>
      <c r="J12" s="30" t="s">
        <v>76</v>
      </c>
      <c r="K12">
        <v>222500</v>
      </c>
      <c r="L12">
        <v>0</v>
      </c>
      <c r="M12" t="s">
        <v>85</v>
      </c>
      <c r="N12" t="s">
        <v>116</v>
      </c>
      <c r="O12">
        <v>1</v>
      </c>
      <c r="P12" t="s">
        <v>151</v>
      </c>
      <c r="Q12" t="s">
        <v>152</v>
      </c>
      <c r="R12">
        <v>0</v>
      </c>
    </row>
    <row r="13" spans="1:18" x14ac:dyDescent="0.3">
      <c r="A13" s="30" t="s">
        <v>115</v>
      </c>
      <c r="B13" s="30" t="s">
        <v>49</v>
      </c>
      <c r="C13" s="1">
        <v>46217</v>
      </c>
      <c r="D13" s="30" t="s">
        <v>50</v>
      </c>
      <c r="E13" s="30" t="s">
        <v>23</v>
      </c>
      <c r="F13" s="30" t="s">
        <v>63</v>
      </c>
      <c r="G13" s="30" t="s">
        <v>51</v>
      </c>
      <c r="H13">
        <v>235000</v>
      </c>
      <c r="I13" s="30" t="s">
        <v>77</v>
      </c>
      <c r="J13" s="30" t="s">
        <v>78</v>
      </c>
      <c r="K13">
        <v>235000</v>
      </c>
      <c r="L13">
        <v>0</v>
      </c>
      <c r="M13" t="s">
        <v>85</v>
      </c>
      <c r="N13" t="s">
        <v>116</v>
      </c>
      <c r="O13">
        <v>1</v>
      </c>
      <c r="P13" t="s">
        <v>151</v>
      </c>
      <c r="Q13" t="s">
        <v>152</v>
      </c>
      <c r="R13">
        <v>0</v>
      </c>
    </row>
    <row r="14" spans="1:18" x14ac:dyDescent="0.3">
      <c r="A14" s="30" t="s">
        <v>117</v>
      </c>
      <c r="B14" s="30" t="s">
        <v>118</v>
      </c>
      <c r="C14" s="1">
        <v>46237</v>
      </c>
      <c r="D14" s="30" t="s">
        <v>22</v>
      </c>
      <c r="E14" s="30" t="s">
        <v>23</v>
      </c>
      <c r="F14" s="30" t="s">
        <v>52</v>
      </c>
      <c r="G14" s="30" t="s">
        <v>89</v>
      </c>
      <c r="H14">
        <v>102500</v>
      </c>
      <c r="I14" s="30" t="s">
        <v>67</v>
      </c>
      <c r="J14" s="30" t="s">
        <v>68</v>
      </c>
      <c r="K14">
        <v>102500</v>
      </c>
      <c r="L14">
        <v>0</v>
      </c>
      <c r="M14" t="s">
        <v>85</v>
      </c>
      <c r="N14" t="s">
        <v>116</v>
      </c>
      <c r="O14">
        <v>2</v>
      </c>
      <c r="P14" t="s">
        <v>154</v>
      </c>
      <c r="Q14" t="s">
        <v>153</v>
      </c>
      <c r="R14">
        <v>51250</v>
      </c>
    </row>
    <row r="15" spans="1:18" x14ac:dyDescent="0.3">
      <c r="A15" s="30" t="s">
        <v>117</v>
      </c>
      <c r="B15" s="30" t="s">
        <v>119</v>
      </c>
      <c r="C15" s="1">
        <v>46237</v>
      </c>
      <c r="D15" s="30" t="s">
        <v>22</v>
      </c>
      <c r="E15" s="30" t="s">
        <v>23</v>
      </c>
      <c r="F15" s="30" t="s">
        <v>52</v>
      </c>
      <c r="G15" s="30" t="s">
        <v>89</v>
      </c>
      <c r="H15">
        <v>102500</v>
      </c>
      <c r="I15" s="30" t="s">
        <v>67</v>
      </c>
      <c r="J15" s="30" t="s">
        <v>68</v>
      </c>
      <c r="K15">
        <v>102500</v>
      </c>
      <c r="L15">
        <v>0</v>
      </c>
      <c r="M15" t="s">
        <v>85</v>
      </c>
      <c r="N15" t="s">
        <v>116</v>
      </c>
      <c r="O15">
        <v>2</v>
      </c>
      <c r="P15" t="s">
        <v>154</v>
      </c>
      <c r="Q15" t="s">
        <v>153</v>
      </c>
      <c r="R15">
        <v>51250</v>
      </c>
    </row>
    <row r="16" spans="1:18" x14ac:dyDescent="0.3">
      <c r="A16" s="30" t="s">
        <v>117</v>
      </c>
      <c r="B16" s="30" t="s">
        <v>120</v>
      </c>
      <c r="C16" s="1">
        <v>46238</v>
      </c>
      <c r="D16" s="30" t="s">
        <v>26</v>
      </c>
      <c r="E16" s="30" t="s">
        <v>23</v>
      </c>
      <c r="F16" s="30" t="s">
        <v>53</v>
      </c>
      <c r="G16" s="30" t="s">
        <v>90</v>
      </c>
      <c r="H16">
        <v>115000</v>
      </c>
      <c r="I16" s="30" t="s">
        <v>69</v>
      </c>
      <c r="J16" s="30" t="s">
        <v>70</v>
      </c>
      <c r="K16">
        <v>115000</v>
      </c>
      <c r="L16">
        <v>0</v>
      </c>
      <c r="M16" t="s">
        <v>85</v>
      </c>
      <c r="N16" t="s">
        <v>116</v>
      </c>
      <c r="O16">
        <v>1</v>
      </c>
      <c r="P16" t="s">
        <v>151</v>
      </c>
      <c r="Q16" t="s">
        <v>152</v>
      </c>
      <c r="R16">
        <v>0</v>
      </c>
    </row>
    <row r="17" spans="1:18" x14ac:dyDescent="0.3">
      <c r="A17" s="30" t="s">
        <v>117</v>
      </c>
      <c r="B17" s="30" t="s">
        <v>121</v>
      </c>
      <c r="C17" s="1">
        <v>46239</v>
      </c>
      <c r="D17" s="30" t="s">
        <v>43</v>
      </c>
      <c r="E17" s="30" t="s">
        <v>23</v>
      </c>
      <c r="F17" s="30" t="s">
        <v>54</v>
      </c>
      <c r="G17" s="30" t="s">
        <v>91</v>
      </c>
      <c r="H17">
        <v>127500</v>
      </c>
      <c r="I17" s="30" t="s">
        <v>71</v>
      </c>
      <c r="J17" s="30" t="s">
        <v>72</v>
      </c>
      <c r="K17">
        <v>127500</v>
      </c>
      <c r="L17">
        <v>0</v>
      </c>
      <c r="M17" t="s">
        <v>85</v>
      </c>
      <c r="N17" t="s">
        <v>116</v>
      </c>
      <c r="O17">
        <v>1</v>
      </c>
      <c r="P17" t="s">
        <v>151</v>
      </c>
      <c r="Q17" t="s">
        <v>152</v>
      </c>
      <c r="R17">
        <v>0</v>
      </c>
    </row>
    <row r="18" spans="1:18" x14ac:dyDescent="0.3">
      <c r="A18" s="30" t="s">
        <v>117</v>
      </c>
      <c r="B18" s="30" t="s">
        <v>122</v>
      </c>
      <c r="C18" s="1">
        <v>46240</v>
      </c>
      <c r="D18" s="30" t="s">
        <v>31</v>
      </c>
      <c r="E18" s="30" t="s">
        <v>23</v>
      </c>
      <c r="F18" s="30" t="s">
        <v>55</v>
      </c>
      <c r="G18" s="30" t="s">
        <v>92</v>
      </c>
      <c r="H18">
        <v>140000</v>
      </c>
      <c r="I18" s="30" t="s">
        <v>73</v>
      </c>
      <c r="J18" s="30" t="s">
        <v>74</v>
      </c>
      <c r="K18">
        <v>140000</v>
      </c>
      <c r="L18">
        <v>0</v>
      </c>
      <c r="M18" t="s">
        <v>85</v>
      </c>
      <c r="N18" t="s">
        <v>116</v>
      </c>
      <c r="O18">
        <v>1</v>
      </c>
      <c r="P18" t="s">
        <v>151</v>
      </c>
      <c r="Q18" t="s">
        <v>152</v>
      </c>
      <c r="R18">
        <v>0</v>
      </c>
    </row>
    <row r="19" spans="1:18" x14ac:dyDescent="0.3">
      <c r="A19" s="30" t="s">
        <v>117</v>
      </c>
      <c r="B19" s="30" t="s">
        <v>123</v>
      </c>
      <c r="C19" s="1">
        <v>46241</v>
      </c>
      <c r="D19" s="30" t="s">
        <v>124</v>
      </c>
      <c r="E19" s="30" t="s">
        <v>23</v>
      </c>
      <c r="F19" s="30" t="s">
        <v>56</v>
      </c>
      <c r="G19" s="30" t="s">
        <v>93</v>
      </c>
      <c r="H19">
        <v>152500</v>
      </c>
      <c r="I19" s="30"/>
      <c r="J19" s="30"/>
      <c r="K19">
        <v>152500</v>
      </c>
      <c r="L19">
        <v>0</v>
      </c>
      <c r="M19" t="s">
        <v>85</v>
      </c>
      <c r="N19" t="s">
        <v>125</v>
      </c>
      <c r="O19">
        <v>1</v>
      </c>
      <c r="P19" t="s">
        <v>151</v>
      </c>
      <c r="Q19" t="s">
        <v>153</v>
      </c>
      <c r="R19">
        <v>0</v>
      </c>
    </row>
    <row r="20" spans="1:18" x14ac:dyDescent="0.3">
      <c r="A20" s="30" t="s">
        <v>117</v>
      </c>
      <c r="B20" s="30" t="s">
        <v>126</v>
      </c>
      <c r="C20" s="1">
        <v>46242</v>
      </c>
      <c r="D20" s="30" t="s">
        <v>50</v>
      </c>
      <c r="E20" s="30" t="s">
        <v>23</v>
      </c>
      <c r="F20" s="30" t="s">
        <v>57</v>
      </c>
      <c r="G20" s="30" t="s">
        <v>94</v>
      </c>
      <c r="H20">
        <v>165000</v>
      </c>
      <c r="I20" s="30" t="s">
        <v>77</v>
      </c>
      <c r="J20" s="30" t="s">
        <v>78</v>
      </c>
      <c r="K20">
        <v>165000</v>
      </c>
      <c r="L20">
        <v>0</v>
      </c>
      <c r="M20" t="s">
        <v>85</v>
      </c>
      <c r="N20" t="s">
        <v>116</v>
      </c>
      <c r="O20">
        <v>1</v>
      </c>
      <c r="P20" t="s">
        <v>151</v>
      </c>
      <c r="Q20" t="s">
        <v>152</v>
      </c>
      <c r="R20">
        <v>0</v>
      </c>
    </row>
    <row r="21" spans="1:18" x14ac:dyDescent="0.3">
      <c r="A21" s="30" t="s">
        <v>117</v>
      </c>
      <c r="B21" s="30" t="s">
        <v>127</v>
      </c>
      <c r="C21" s="1">
        <v>46243</v>
      </c>
      <c r="D21" s="30" t="s">
        <v>22</v>
      </c>
      <c r="E21" s="30" t="s">
        <v>23</v>
      </c>
      <c r="F21" s="30" t="s">
        <v>58</v>
      </c>
      <c r="G21" s="30" t="s">
        <v>95</v>
      </c>
      <c r="H21">
        <v>177500</v>
      </c>
      <c r="I21" s="30" t="s">
        <v>67</v>
      </c>
      <c r="J21" s="30" t="s">
        <v>68</v>
      </c>
      <c r="K21">
        <v>177500</v>
      </c>
      <c r="L21">
        <v>0</v>
      </c>
      <c r="M21" t="s">
        <v>85</v>
      </c>
      <c r="N21" t="s">
        <v>116</v>
      </c>
      <c r="O21">
        <v>1</v>
      </c>
      <c r="P21" t="s">
        <v>151</v>
      </c>
      <c r="Q21" t="s">
        <v>152</v>
      </c>
      <c r="R21">
        <v>0</v>
      </c>
    </row>
    <row r="22" spans="1:18" x14ac:dyDescent="0.3">
      <c r="A22" s="30" t="s">
        <v>117</v>
      </c>
      <c r="B22" s="30" t="s">
        <v>128</v>
      </c>
      <c r="C22" s="1">
        <v>46244</v>
      </c>
      <c r="D22" s="30" t="s">
        <v>26</v>
      </c>
      <c r="E22" s="30" t="s">
        <v>23</v>
      </c>
      <c r="F22" s="30" t="s">
        <v>59</v>
      </c>
      <c r="G22" s="30" t="s">
        <v>3</v>
      </c>
      <c r="H22">
        <v>190000</v>
      </c>
      <c r="I22" s="30" t="s">
        <v>69</v>
      </c>
      <c r="J22" s="30" t="s">
        <v>70</v>
      </c>
      <c r="M22" t="s">
        <v>129</v>
      </c>
      <c r="N22" t="s">
        <v>116</v>
      </c>
      <c r="O22">
        <v>1</v>
      </c>
      <c r="P22" t="s">
        <v>151</v>
      </c>
      <c r="Q22" t="s">
        <v>153</v>
      </c>
      <c r="R22">
        <v>0</v>
      </c>
    </row>
    <row r="23" spans="1:18" x14ac:dyDescent="0.3">
      <c r="A23" s="30" t="s">
        <v>117</v>
      </c>
      <c r="B23" s="30" t="s">
        <v>130</v>
      </c>
      <c r="C23" s="1">
        <v>46245</v>
      </c>
      <c r="D23" s="30" t="s">
        <v>43</v>
      </c>
      <c r="E23" s="30" t="s">
        <v>23</v>
      </c>
      <c r="F23" s="30" t="s">
        <v>60</v>
      </c>
      <c r="G23" s="30" t="s">
        <v>97</v>
      </c>
      <c r="H23">
        <v>202500</v>
      </c>
      <c r="I23" s="30" t="s">
        <v>71</v>
      </c>
      <c r="J23" s="30" t="s">
        <v>72</v>
      </c>
      <c r="K23">
        <v>202500</v>
      </c>
      <c r="L23">
        <v>0</v>
      </c>
      <c r="M23" t="s">
        <v>85</v>
      </c>
      <c r="N23" t="s">
        <v>116</v>
      </c>
      <c r="O23">
        <v>1</v>
      </c>
      <c r="P23" t="s">
        <v>151</v>
      </c>
      <c r="Q23" t="s">
        <v>152</v>
      </c>
      <c r="R23">
        <v>0</v>
      </c>
    </row>
    <row r="24" spans="1:18" x14ac:dyDescent="0.3">
      <c r="A24" s="30" t="s">
        <v>117</v>
      </c>
      <c r="B24" s="30" t="s">
        <v>131</v>
      </c>
      <c r="C24" s="1">
        <v>46246</v>
      </c>
      <c r="D24" s="30" t="s">
        <v>31</v>
      </c>
      <c r="E24" s="30" t="s">
        <v>23</v>
      </c>
      <c r="F24" s="30" t="s">
        <v>61</v>
      </c>
      <c r="G24" s="30" t="s">
        <v>98</v>
      </c>
      <c r="H24">
        <v>215000</v>
      </c>
      <c r="I24" s="30" t="s">
        <v>73</v>
      </c>
      <c r="J24" s="30" t="s">
        <v>74</v>
      </c>
      <c r="K24">
        <v>215000</v>
      </c>
      <c r="L24">
        <v>0</v>
      </c>
      <c r="M24" t="s">
        <v>85</v>
      </c>
      <c r="N24" t="s">
        <v>116</v>
      </c>
      <c r="O24">
        <v>1</v>
      </c>
      <c r="P24" t="s">
        <v>151</v>
      </c>
      <c r="Q24" t="s">
        <v>152</v>
      </c>
      <c r="R24">
        <v>0</v>
      </c>
    </row>
    <row r="25" spans="1:18" x14ac:dyDescent="0.3">
      <c r="A25" s="30" t="s">
        <v>117</v>
      </c>
      <c r="B25" s="30" t="s">
        <v>132</v>
      </c>
      <c r="C25" s="1">
        <v>46247</v>
      </c>
      <c r="D25" s="30" t="s">
        <v>34</v>
      </c>
      <c r="E25" s="30" t="s">
        <v>23</v>
      </c>
      <c r="F25" s="30" t="s">
        <v>62</v>
      </c>
      <c r="G25" s="30" t="s">
        <v>99</v>
      </c>
      <c r="H25">
        <v>227500</v>
      </c>
      <c r="I25" s="30" t="s">
        <v>75</v>
      </c>
      <c r="J25" s="30" t="s">
        <v>76</v>
      </c>
      <c r="K25">
        <v>227500</v>
      </c>
      <c r="L25">
        <v>0</v>
      </c>
      <c r="M25" t="s">
        <v>85</v>
      </c>
      <c r="N25" t="s">
        <v>116</v>
      </c>
      <c r="O25">
        <v>1</v>
      </c>
      <c r="P25" t="s">
        <v>151</v>
      </c>
      <c r="Q25" t="s">
        <v>152</v>
      </c>
      <c r="R25">
        <v>0</v>
      </c>
    </row>
    <row r="26" spans="1:18" x14ac:dyDescent="0.3">
      <c r="A26" s="30" t="s">
        <v>117</v>
      </c>
      <c r="B26" s="30" t="s">
        <v>133</v>
      </c>
      <c r="C26" s="1">
        <v>46248</v>
      </c>
      <c r="D26" s="30" t="s">
        <v>50</v>
      </c>
      <c r="E26" s="30" t="s">
        <v>23</v>
      </c>
      <c r="F26" s="30" t="s">
        <v>63</v>
      </c>
      <c r="G26" s="30" t="s">
        <v>100</v>
      </c>
      <c r="H26">
        <v>240000</v>
      </c>
      <c r="I26" s="30" t="s">
        <v>77</v>
      </c>
      <c r="J26" s="30" t="s">
        <v>78</v>
      </c>
      <c r="K26">
        <v>240000</v>
      </c>
      <c r="L26">
        <v>0</v>
      </c>
      <c r="M26" t="s">
        <v>85</v>
      </c>
      <c r="N26" t="s">
        <v>116</v>
      </c>
      <c r="O26">
        <v>1</v>
      </c>
      <c r="P26" t="s">
        <v>151</v>
      </c>
      <c r="Q26" t="s">
        <v>152</v>
      </c>
      <c r="R26">
        <v>0</v>
      </c>
    </row>
    <row r="27" spans="1:18" x14ac:dyDescent="0.3">
      <c r="A27" s="30" t="s">
        <v>134</v>
      </c>
      <c r="B27" s="30" t="s">
        <v>135</v>
      </c>
      <c r="C27" s="1">
        <v>46268</v>
      </c>
      <c r="D27" s="30" t="s">
        <v>22</v>
      </c>
      <c r="E27" s="30" t="s">
        <v>23</v>
      </c>
      <c r="F27" s="30" t="s">
        <v>52</v>
      </c>
      <c r="G27" s="30" t="s">
        <v>101</v>
      </c>
      <c r="H27">
        <v>107500</v>
      </c>
      <c r="I27" s="30" t="s">
        <v>67</v>
      </c>
      <c r="J27" s="30" t="s">
        <v>68</v>
      </c>
      <c r="K27">
        <v>107500</v>
      </c>
      <c r="L27">
        <v>0</v>
      </c>
      <c r="M27" t="s">
        <v>85</v>
      </c>
      <c r="N27" t="s">
        <v>116</v>
      </c>
      <c r="O27">
        <v>1</v>
      </c>
      <c r="P27" t="s">
        <v>151</v>
      </c>
      <c r="Q27" t="s">
        <v>152</v>
      </c>
      <c r="R27">
        <v>0</v>
      </c>
    </row>
    <row r="28" spans="1:18" x14ac:dyDescent="0.3">
      <c r="A28" s="30" t="s">
        <v>134</v>
      </c>
      <c r="B28" s="30" t="s">
        <v>136</v>
      </c>
      <c r="C28" s="1">
        <v>46269</v>
      </c>
      <c r="D28" s="30" t="s">
        <v>26</v>
      </c>
      <c r="E28" s="30" t="s">
        <v>23</v>
      </c>
      <c r="F28" s="30" t="s">
        <v>53</v>
      </c>
      <c r="G28" s="30" t="s">
        <v>102</v>
      </c>
      <c r="H28">
        <v>120000</v>
      </c>
      <c r="I28" s="30" t="s">
        <v>69</v>
      </c>
      <c r="J28" s="30" t="s">
        <v>70</v>
      </c>
      <c r="K28">
        <v>120000</v>
      </c>
      <c r="L28">
        <v>0</v>
      </c>
      <c r="M28" t="s">
        <v>85</v>
      </c>
      <c r="N28" t="s">
        <v>116</v>
      </c>
      <c r="O28">
        <v>1</v>
      </c>
      <c r="P28" t="s">
        <v>151</v>
      </c>
      <c r="Q28" t="s">
        <v>152</v>
      </c>
      <c r="R28">
        <v>0</v>
      </c>
    </row>
    <row r="29" spans="1:18" x14ac:dyDescent="0.3">
      <c r="A29" s="30" t="s">
        <v>134</v>
      </c>
      <c r="B29" s="30" t="s">
        <v>137</v>
      </c>
      <c r="C29" s="1">
        <v>46270</v>
      </c>
      <c r="D29" s="30" t="s">
        <v>43</v>
      </c>
      <c r="E29" s="30" t="s">
        <v>23</v>
      </c>
      <c r="F29" s="30" t="s">
        <v>54</v>
      </c>
      <c r="G29" s="30" t="s">
        <v>103</v>
      </c>
      <c r="H29">
        <v>132500</v>
      </c>
      <c r="I29" s="30" t="s">
        <v>71</v>
      </c>
      <c r="J29" s="30" t="s">
        <v>72</v>
      </c>
      <c r="K29">
        <v>132500</v>
      </c>
      <c r="L29">
        <v>0</v>
      </c>
      <c r="M29" t="s">
        <v>85</v>
      </c>
      <c r="N29" t="s">
        <v>116</v>
      </c>
      <c r="O29">
        <v>1</v>
      </c>
      <c r="P29" t="s">
        <v>151</v>
      </c>
      <c r="Q29" t="s">
        <v>152</v>
      </c>
      <c r="R29">
        <v>0</v>
      </c>
    </row>
    <row r="30" spans="1:18" x14ac:dyDescent="0.3">
      <c r="A30" s="30" t="s">
        <v>134</v>
      </c>
      <c r="B30" s="30" t="s">
        <v>138</v>
      </c>
      <c r="C30" s="1">
        <v>46271</v>
      </c>
      <c r="D30" s="30" t="s">
        <v>31</v>
      </c>
      <c r="E30" s="30" t="s">
        <v>23</v>
      </c>
      <c r="F30" s="30" t="s">
        <v>55</v>
      </c>
      <c r="G30" s="30" t="s">
        <v>139</v>
      </c>
      <c r="H30">
        <v>145000</v>
      </c>
      <c r="I30" s="30" t="s">
        <v>73</v>
      </c>
      <c r="J30" s="30" t="s">
        <v>74</v>
      </c>
      <c r="M30" t="s">
        <v>129</v>
      </c>
      <c r="N30" t="s">
        <v>116</v>
      </c>
      <c r="O30">
        <v>1</v>
      </c>
      <c r="P30" t="s">
        <v>151</v>
      </c>
      <c r="Q30" t="s">
        <v>153</v>
      </c>
      <c r="R30">
        <v>0</v>
      </c>
    </row>
    <row r="31" spans="1:18" x14ac:dyDescent="0.3">
      <c r="A31" s="30" t="s">
        <v>134</v>
      </c>
      <c r="B31" s="30" t="s">
        <v>140</v>
      </c>
      <c r="C31" s="1">
        <v>46272</v>
      </c>
      <c r="D31" s="30" t="s">
        <v>34</v>
      </c>
      <c r="E31" s="30" t="s">
        <v>23</v>
      </c>
      <c r="F31" s="30" t="s">
        <v>56</v>
      </c>
      <c r="G31" s="30" t="s">
        <v>105</v>
      </c>
      <c r="H31">
        <v>157500</v>
      </c>
      <c r="I31" s="30" t="s">
        <v>75</v>
      </c>
      <c r="J31" s="30" t="s">
        <v>76</v>
      </c>
      <c r="K31">
        <v>157500</v>
      </c>
      <c r="L31">
        <v>0</v>
      </c>
      <c r="M31" t="s">
        <v>85</v>
      </c>
      <c r="N31" t="s">
        <v>116</v>
      </c>
      <c r="O31">
        <v>1</v>
      </c>
      <c r="P31" t="s">
        <v>151</v>
      </c>
      <c r="Q31" t="s">
        <v>152</v>
      </c>
      <c r="R31">
        <v>0</v>
      </c>
    </row>
    <row r="32" spans="1:18" x14ac:dyDescent="0.3">
      <c r="A32" s="30" t="s">
        <v>134</v>
      </c>
      <c r="B32" s="30" t="s">
        <v>141</v>
      </c>
      <c r="C32" s="1">
        <v>46273</v>
      </c>
      <c r="D32" s="30" t="s">
        <v>50</v>
      </c>
      <c r="E32" s="30" t="s">
        <v>23</v>
      </c>
      <c r="F32" s="30" t="s">
        <v>57</v>
      </c>
      <c r="G32" s="30" t="s">
        <v>106</v>
      </c>
      <c r="H32">
        <v>170000</v>
      </c>
      <c r="I32" s="30" t="s">
        <v>77</v>
      </c>
      <c r="J32" s="30" t="s">
        <v>78</v>
      </c>
      <c r="K32">
        <v>170000</v>
      </c>
      <c r="L32">
        <v>0</v>
      </c>
      <c r="M32" t="s">
        <v>85</v>
      </c>
      <c r="N32" t="s">
        <v>116</v>
      </c>
      <c r="O32">
        <v>1</v>
      </c>
      <c r="P32" t="s">
        <v>151</v>
      </c>
      <c r="Q32" t="s">
        <v>152</v>
      </c>
      <c r="R32">
        <v>0</v>
      </c>
    </row>
    <row r="33" spans="1:18" x14ac:dyDescent="0.3">
      <c r="A33" s="30" t="s">
        <v>134</v>
      </c>
      <c r="B33" s="30" t="s">
        <v>142</v>
      </c>
      <c r="C33" s="1">
        <v>46274</v>
      </c>
      <c r="D33" s="30" t="s">
        <v>22</v>
      </c>
      <c r="E33" s="30" t="s">
        <v>23</v>
      </c>
      <c r="F33" s="30" t="s">
        <v>58</v>
      </c>
      <c r="G33" s="30" t="s">
        <v>107</v>
      </c>
      <c r="H33">
        <v>182500</v>
      </c>
      <c r="I33" s="30" t="s">
        <v>67</v>
      </c>
      <c r="J33" s="30" t="s">
        <v>68</v>
      </c>
      <c r="K33">
        <v>182500</v>
      </c>
      <c r="L33">
        <v>0</v>
      </c>
      <c r="M33" t="s">
        <v>85</v>
      </c>
      <c r="N33" t="s">
        <v>116</v>
      </c>
      <c r="O33">
        <v>1</v>
      </c>
      <c r="P33" t="s">
        <v>151</v>
      </c>
      <c r="Q33" t="s">
        <v>152</v>
      </c>
      <c r="R33">
        <v>0</v>
      </c>
    </row>
    <row r="34" spans="1:18" x14ac:dyDescent="0.3">
      <c r="A34" s="30" t="s">
        <v>134</v>
      </c>
      <c r="B34" s="30" t="s">
        <v>143</v>
      </c>
      <c r="C34" s="1">
        <v>46275</v>
      </c>
      <c r="D34" s="30" t="s">
        <v>26</v>
      </c>
      <c r="E34" s="30" t="s">
        <v>23</v>
      </c>
      <c r="F34" s="30" t="s">
        <v>59</v>
      </c>
      <c r="G34" s="30" t="s">
        <v>108</v>
      </c>
      <c r="H34">
        <v>195000</v>
      </c>
      <c r="I34" s="30" t="s">
        <v>69</v>
      </c>
      <c r="J34" s="30" t="s">
        <v>70</v>
      </c>
      <c r="K34">
        <v>195000</v>
      </c>
      <c r="L34">
        <v>0</v>
      </c>
      <c r="M34" t="s">
        <v>85</v>
      </c>
      <c r="N34" t="s">
        <v>116</v>
      </c>
      <c r="O34">
        <v>1</v>
      </c>
      <c r="P34" t="s">
        <v>151</v>
      </c>
      <c r="Q34" t="s">
        <v>152</v>
      </c>
      <c r="R34">
        <v>0</v>
      </c>
    </row>
    <row r="35" spans="1:18" x14ac:dyDescent="0.3">
      <c r="A35" s="30" t="s">
        <v>134</v>
      </c>
      <c r="B35" s="30" t="s">
        <v>144</v>
      </c>
      <c r="C35" s="1">
        <v>46276</v>
      </c>
      <c r="D35" s="30" t="s">
        <v>43</v>
      </c>
      <c r="E35" s="30" t="s">
        <v>23</v>
      </c>
      <c r="F35" s="30" t="s">
        <v>60</v>
      </c>
      <c r="G35" s="30" t="s">
        <v>109</v>
      </c>
      <c r="H35">
        <v>232500</v>
      </c>
      <c r="I35" s="30" t="s">
        <v>71</v>
      </c>
      <c r="J35" s="30" t="s">
        <v>72</v>
      </c>
      <c r="K35">
        <v>207500</v>
      </c>
      <c r="L35">
        <v>25000</v>
      </c>
      <c r="M35" t="s">
        <v>86</v>
      </c>
      <c r="N35" t="s">
        <v>116</v>
      </c>
      <c r="O35">
        <v>1</v>
      </c>
      <c r="P35" t="s">
        <v>151</v>
      </c>
      <c r="Q35" t="s">
        <v>153</v>
      </c>
      <c r="R35">
        <v>0</v>
      </c>
    </row>
    <row r="36" spans="1:18" x14ac:dyDescent="0.3">
      <c r="A36" s="30" t="s">
        <v>134</v>
      </c>
      <c r="B36" s="30" t="s">
        <v>145</v>
      </c>
      <c r="C36" s="1">
        <v>46277</v>
      </c>
      <c r="D36" s="30" t="s">
        <v>31</v>
      </c>
      <c r="E36" s="30" t="s">
        <v>23</v>
      </c>
      <c r="F36" s="30" t="s">
        <v>61</v>
      </c>
      <c r="G36" s="30" t="s">
        <v>110</v>
      </c>
      <c r="H36">
        <v>220000</v>
      </c>
      <c r="I36" s="30" t="s">
        <v>73</v>
      </c>
      <c r="J36" s="30" t="s">
        <v>74</v>
      </c>
      <c r="K36">
        <v>220000</v>
      </c>
      <c r="L36">
        <v>0</v>
      </c>
      <c r="M36" t="s">
        <v>85</v>
      </c>
      <c r="N36" t="s">
        <v>116</v>
      </c>
      <c r="O36">
        <v>1</v>
      </c>
      <c r="P36" t="s">
        <v>151</v>
      </c>
      <c r="Q36" t="s">
        <v>152</v>
      </c>
      <c r="R36">
        <v>0</v>
      </c>
    </row>
    <row r="37" spans="1:18" x14ac:dyDescent="0.3">
      <c r="A37" s="30" t="s">
        <v>134</v>
      </c>
      <c r="B37" s="30" t="s">
        <v>146</v>
      </c>
      <c r="C37" s="1">
        <v>46278</v>
      </c>
      <c r="D37" s="30" t="s">
        <v>34</v>
      </c>
      <c r="E37" s="30" t="s">
        <v>23</v>
      </c>
      <c r="F37" s="30" t="s">
        <v>62</v>
      </c>
      <c r="G37" s="30" t="s">
        <v>111</v>
      </c>
      <c r="H37">
        <v>232500</v>
      </c>
      <c r="I37" s="30" t="s">
        <v>75</v>
      </c>
      <c r="J37" s="30" t="s">
        <v>76</v>
      </c>
      <c r="K37">
        <v>232500</v>
      </c>
      <c r="L37">
        <v>0</v>
      </c>
      <c r="M37" t="s">
        <v>85</v>
      </c>
      <c r="N37" t="s">
        <v>116</v>
      </c>
      <c r="O37">
        <v>1</v>
      </c>
      <c r="P37" t="s">
        <v>151</v>
      </c>
      <c r="Q37" t="s">
        <v>152</v>
      </c>
      <c r="R37">
        <v>0</v>
      </c>
    </row>
    <row r="38" spans="1:18" x14ac:dyDescent="0.3">
      <c r="A38" s="30" t="s">
        <v>134</v>
      </c>
      <c r="B38" s="30" t="s">
        <v>147</v>
      </c>
      <c r="C38" s="1">
        <v>46279</v>
      </c>
      <c r="D38" s="30" t="s">
        <v>50</v>
      </c>
      <c r="E38" s="30" t="s">
        <v>23</v>
      </c>
      <c r="F38" s="30" t="s">
        <v>63</v>
      </c>
      <c r="G38" s="30" t="s">
        <v>112</v>
      </c>
      <c r="H38">
        <v>245000</v>
      </c>
      <c r="I38" s="30" t="s">
        <v>77</v>
      </c>
      <c r="J38" s="30" t="s">
        <v>78</v>
      </c>
      <c r="K38">
        <v>245000</v>
      </c>
      <c r="L38">
        <v>0</v>
      </c>
      <c r="M38" t="s">
        <v>85</v>
      </c>
      <c r="N38" t="s">
        <v>116</v>
      </c>
      <c r="O38">
        <v>1</v>
      </c>
      <c r="P38" t="s">
        <v>151</v>
      </c>
      <c r="Q38" t="s">
        <v>152</v>
      </c>
      <c r="R38">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947A8-7A4C-4D92-831E-5C3607ECE1BC}">
  <dimension ref="A1:E37"/>
  <sheetViews>
    <sheetView workbookViewId="0"/>
  </sheetViews>
  <sheetFormatPr baseColWidth="10" defaultRowHeight="14.4" x14ac:dyDescent="0.3"/>
  <cols>
    <col min="1" max="1" width="18.33203125" bestFit="1" customWidth="1"/>
    <col min="2" max="2" width="17.109375" bestFit="1" customWidth="1"/>
    <col min="3" max="3" width="7.33203125" bestFit="1" customWidth="1"/>
    <col min="4" max="4" width="15.6640625" bestFit="1" customWidth="1"/>
    <col min="5" max="5" width="19.44140625" bestFit="1" customWidth="1"/>
  </cols>
  <sheetData>
    <row r="1" spans="1:5" x14ac:dyDescent="0.3">
      <c r="A1" t="s">
        <v>16</v>
      </c>
      <c r="B1" t="s">
        <v>17</v>
      </c>
      <c r="C1" t="s">
        <v>18</v>
      </c>
      <c r="D1" t="s">
        <v>15</v>
      </c>
      <c r="E1" t="s">
        <v>148</v>
      </c>
    </row>
    <row r="2" spans="1:5" x14ac:dyDescent="0.3">
      <c r="A2" s="30" t="s">
        <v>22</v>
      </c>
      <c r="B2" s="30" t="s">
        <v>23</v>
      </c>
      <c r="C2" s="30" t="s">
        <v>52</v>
      </c>
      <c r="D2" s="1">
        <v>46206</v>
      </c>
      <c r="E2">
        <v>1</v>
      </c>
    </row>
    <row r="3" spans="1:5" x14ac:dyDescent="0.3">
      <c r="A3" s="30" t="s">
        <v>22</v>
      </c>
      <c r="B3" s="30" t="s">
        <v>23</v>
      </c>
      <c r="C3" s="30" t="s">
        <v>58</v>
      </c>
      <c r="D3" s="1">
        <v>46212</v>
      </c>
      <c r="E3">
        <v>1</v>
      </c>
    </row>
    <row r="4" spans="1:5" x14ac:dyDescent="0.3">
      <c r="A4" s="30" t="s">
        <v>26</v>
      </c>
      <c r="B4" s="30" t="s">
        <v>23</v>
      </c>
      <c r="C4" s="30" t="s">
        <v>53</v>
      </c>
      <c r="D4" s="1">
        <v>46207</v>
      </c>
      <c r="E4">
        <v>1</v>
      </c>
    </row>
    <row r="5" spans="1:5" x14ac:dyDescent="0.3">
      <c r="A5" s="30" t="s">
        <v>43</v>
      </c>
      <c r="B5" s="30" t="s">
        <v>23</v>
      </c>
      <c r="C5" s="30" t="s">
        <v>54</v>
      </c>
      <c r="D5" s="1">
        <v>46208</v>
      </c>
      <c r="E5">
        <v>1</v>
      </c>
    </row>
    <row r="6" spans="1:5" x14ac:dyDescent="0.3">
      <c r="A6" s="30" t="s">
        <v>31</v>
      </c>
      <c r="B6" s="30" t="s">
        <v>23</v>
      </c>
      <c r="C6" s="30" t="s">
        <v>55</v>
      </c>
      <c r="D6" s="1">
        <v>46209</v>
      </c>
      <c r="E6">
        <v>1</v>
      </c>
    </row>
    <row r="7" spans="1:5" x14ac:dyDescent="0.3">
      <c r="A7" s="30" t="s">
        <v>34</v>
      </c>
      <c r="B7" s="30" t="s">
        <v>23</v>
      </c>
      <c r="C7" s="30" t="s">
        <v>56</v>
      </c>
      <c r="D7" s="1">
        <v>46210</v>
      </c>
      <c r="E7">
        <v>1</v>
      </c>
    </row>
    <row r="8" spans="1:5" x14ac:dyDescent="0.3">
      <c r="A8" s="30" t="s">
        <v>50</v>
      </c>
      <c r="B8" s="30" t="s">
        <v>23</v>
      </c>
      <c r="C8" s="30" t="s">
        <v>57</v>
      </c>
      <c r="D8" s="1">
        <v>46211</v>
      </c>
      <c r="E8">
        <v>1</v>
      </c>
    </row>
    <row r="9" spans="1:5" x14ac:dyDescent="0.3">
      <c r="A9" s="30" t="s">
        <v>26</v>
      </c>
      <c r="B9" s="30" t="s">
        <v>23</v>
      </c>
      <c r="C9" s="30" t="s">
        <v>59</v>
      </c>
      <c r="D9" s="1">
        <v>46213</v>
      </c>
      <c r="E9">
        <v>1</v>
      </c>
    </row>
    <row r="10" spans="1:5" x14ac:dyDescent="0.3">
      <c r="A10" s="30" t="s">
        <v>43</v>
      </c>
      <c r="B10" s="30" t="s">
        <v>23</v>
      </c>
      <c r="C10" s="30" t="s">
        <v>60</v>
      </c>
      <c r="D10" s="1">
        <v>46214</v>
      </c>
      <c r="E10">
        <v>1</v>
      </c>
    </row>
    <row r="11" spans="1:5" x14ac:dyDescent="0.3">
      <c r="A11" s="30" t="s">
        <v>31</v>
      </c>
      <c r="B11" s="30" t="s">
        <v>23</v>
      </c>
      <c r="C11" s="30" t="s">
        <v>61</v>
      </c>
      <c r="D11" s="1">
        <v>46215</v>
      </c>
      <c r="E11">
        <v>1</v>
      </c>
    </row>
    <row r="12" spans="1:5" x14ac:dyDescent="0.3">
      <c r="A12" s="30" t="s">
        <v>34</v>
      </c>
      <c r="B12" s="30" t="s">
        <v>23</v>
      </c>
      <c r="C12" s="30" t="s">
        <v>62</v>
      </c>
      <c r="D12" s="1">
        <v>46216</v>
      </c>
      <c r="E12">
        <v>1</v>
      </c>
    </row>
    <row r="13" spans="1:5" x14ac:dyDescent="0.3">
      <c r="A13" s="30" t="s">
        <v>50</v>
      </c>
      <c r="B13" s="30" t="s">
        <v>23</v>
      </c>
      <c r="C13" s="30" t="s">
        <v>63</v>
      </c>
      <c r="D13" s="1">
        <v>46217</v>
      </c>
      <c r="E13">
        <v>1</v>
      </c>
    </row>
    <row r="14" spans="1:5" x14ac:dyDescent="0.3">
      <c r="A14" s="30" t="s">
        <v>22</v>
      </c>
      <c r="B14" s="30" t="s">
        <v>23</v>
      </c>
      <c r="C14" s="30" t="s">
        <v>52</v>
      </c>
      <c r="D14" s="1">
        <v>46237</v>
      </c>
      <c r="E14">
        <v>2</v>
      </c>
    </row>
    <row r="15" spans="1:5" x14ac:dyDescent="0.3">
      <c r="A15" s="30" t="s">
        <v>26</v>
      </c>
      <c r="B15" s="30" t="s">
        <v>23</v>
      </c>
      <c r="C15" s="30" t="s">
        <v>53</v>
      </c>
      <c r="D15" s="1">
        <v>46238</v>
      </c>
      <c r="E15">
        <v>1</v>
      </c>
    </row>
    <row r="16" spans="1:5" x14ac:dyDescent="0.3">
      <c r="A16" s="30" t="s">
        <v>43</v>
      </c>
      <c r="B16" s="30" t="s">
        <v>23</v>
      </c>
      <c r="C16" s="30" t="s">
        <v>54</v>
      </c>
      <c r="D16" s="1">
        <v>46239</v>
      </c>
      <c r="E16">
        <v>1</v>
      </c>
    </row>
    <row r="17" spans="1:5" x14ac:dyDescent="0.3">
      <c r="A17" s="30" t="s">
        <v>31</v>
      </c>
      <c r="B17" s="30" t="s">
        <v>23</v>
      </c>
      <c r="C17" s="30" t="s">
        <v>55</v>
      </c>
      <c r="D17" s="1">
        <v>46240</v>
      </c>
      <c r="E17">
        <v>1</v>
      </c>
    </row>
    <row r="18" spans="1:5" x14ac:dyDescent="0.3">
      <c r="A18" s="30" t="s">
        <v>124</v>
      </c>
      <c r="B18" s="30" t="s">
        <v>23</v>
      </c>
      <c r="C18" s="30" t="s">
        <v>56</v>
      </c>
      <c r="D18" s="1">
        <v>46241</v>
      </c>
      <c r="E18">
        <v>1</v>
      </c>
    </row>
    <row r="19" spans="1:5" x14ac:dyDescent="0.3">
      <c r="A19" s="30" t="s">
        <v>50</v>
      </c>
      <c r="B19" s="30" t="s">
        <v>23</v>
      </c>
      <c r="C19" s="30" t="s">
        <v>57</v>
      </c>
      <c r="D19" s="1">
        <v>46242</v>
      </c>
      <c r="E19">
        <v>1</v>
      </c>
    </row>
    <row r="20" spans="1:5" x14ac:dyDescent="0.3">
      <c r="A20" s="30" t="s">
        <v>22</v>
      </c>
      <c r="B20" s="30" t="s">
        <v>23</v>
      </c>
      <c r="C20" s="30" t="s">
        <v>58</v>
      </c>
      <c r="D20" s="1">
        <v>46243</v>
      </c>
      <c r="E20">
        <v>1</v>
      </c>
    </row>
    <row r="21" spans="1:5" x14ac:dyDescent="0.3">
      <c r="A21" s="30" t="s">
        <v>26</v>
      </c>
      <c r="B21" s="30" t="s">
        <v>23</v>
      </c>
      <c r="C21" s="30" t="s">
        <v>59</v>
      </c>
      <c r="D21" s="1">
        <v>46244</v>
      </c>
      <c r="E21">
        <v>1</v>
      </c>
    </row>
    <row r="22" spans="1:5" x14ac:dyDescent="0.3">
      <c r="A22" s="30" t="s">
        <v>43</v>
      </c>
      <c r="B22" s="30" t="s">
        <v>23</v>
      </c>
      <c r="C22" s="30" t="s">
        <v>60</v>
      </c>
      <c r="D22" s="1">
        <v>46245</v>
      </c>
      <c r="E22">
        <v>1</v>
      </c>
    </row>
    <row r="23" spans="1:5" x14ac:dyDescent="0.3">
      <c r="A23" s="30" t="s">
        <v>31</v>
      </c>
      <c r="B23" s="30" t="s">
        <v>23</v>
      </c>
      <c r="C23" s="30" t="s">
        <v>61</v>
      </c>
      <c r="D23" s="1">
        <v>46246</v>
      </c>
      <c r="E23">
        <v>1</v>
      </c>
    </row>
    <row r="24" spans="1:5" x14ac:dyDescent="0.3">
      <c r="A24" s="30" t="s">
        <v>34</v>
      </c>
      <c r="B24" s="30" t="s">
        <v>23</v>
      </c>
      <c r="C24" s="30" t="s">
        <v>62</v>
      </c>
      <c r="D24" s="1">
        <v>46247</v>
      </c>
      <c r="E24">
        <v>1</v>
      </c>
    </row>
    <row r="25" spans="1:5" x14ac:dyDescent="0.3">
      <c r="A25" s="30" t="s">
        <v>50</v>
      </c>
      <c r="B25" s="30" t="s">
        <v>23</v>
      </c>
      <c r="C25" s="30" t="s">
        <v>63</v>
      </c>
      <c r="D25" s="1">
        <v>46248</v>
      </c>
      <c r="E25">
        <v>1</v>
      </c>
    </row>
    <row r="26" spans="1:5" x14ac:dyDescent="0.3">
      <c r="A26" s="30" t="s">
        <v>22</v>
      </c>
      <c r="B26" s="30" t="s">
        <v>23</v>
      </c>
      <c r="C26" s="30" t="s">
        <v>52</v>
      </c>
      <c r="D26" s="1">
        <v>46268</v>
      </c>
      <c r="E26">
        <v>1</v>
      </c>
    </row>
    <row r="27" spans="1:5" x14ac:dyDescent="0.3">
      <c r="A27" s="30" t="s">
        <v>26</v>
      </c>
      <c r="B27" s="30" t="s">
        <v>23</v>
      </c>
      <c r="C27" s="30" t="s">
        <v>53</v>
      </c>
      <c r="D27" s="1">
        <v>46269</v>
      </c>
      <c r="E27">
        <v>1</v>
      </c>
    </row>
    <row r="28" spans="1:5" x14ac:dyDescent="0.3">
      <c r="A28" s="30" t="s">
        <v>43</v>
      </c>
      <c r="B28" s="30" t="s">
        <v>23</v>
      </c>
      <c r="C28" s="30" t="s">
        <v>54</v>
      </c>
      <c r="D28" s="1">
        <v>46270</v>
      </c>
      <c r="E28">
        <v>1</v>
      </c>
    </row>
    <row r="29" spans="1:5" x14ac:dyDescent="0.3">
      <c r="A29" s="30" t="s">
        <v>31</v>
      </c>
      <c r="B29" s="30" t="s">
        <v>23</v>
      </c>
      <c r="C29" s="30" t="s">
        <v>55</v>
      </c>
      <c r="D29" s="1">
        <v>46271</v>
      </c>
      <c r="E29">
        <v>1</v>
      </c>
    </row>
    <row r="30" spans="1:5" x14ac:dyDescent="0.3">
      <c r="A30" s="30" t="s">
        <v>34</v>
      </c>
      <c r="B30" s="30" t="s">
        <v>23</v>
      </c>
      <c r="C30" s="30" t="s">
        <v>56</v>
      </c>
      <c r="D30" s="1">
        <v>46272</v>
      </c>
      <c r="E30">
        <v>1</v>
      </c>
    </row>
    <row r="31" spans="1:5" x14ac:dyDescent="0.3">
      <c r="A31" s="30" t="s">
        <v>50</v>
      </c>
      <c r="B31" s="30" t="s">
        <v>23</v>
      </c>
      <c r="C31" s="30" t="s">
        <v>57</v>
      </c>
      <c r="D31" s="1">
        <v>46273</v>
      </c>
      <c r="E31">
        <v>1</v>
      </c>
    </row>
    <row r="32" spans="1:5" x14ac:dyDescent="0.3">
      <c r="A32" s="30" t="s">
        <v>22</v>
      </c>
      <c r="B32" s="30" t="s">
        <v>23</v>
      </c>
      <c r="C32" s="30" t="s">
        <v>58</v>
      </c>
      <c r="D32" s="1">
        <v>46274</v>
      </c>
      <c r="E32">
        <v>1</v>
      </c>
    </row>
    <row r="33" spans="1:5" x14ac:dyDescent="0.3">
      <c r="A33" s="30" t="s">
        <v>26</v>
      </c>
      <c r="B33" s="30" t="s">
        <v>23</v>
      </c>
      <c r="C33" s="30" t="s">
        <v>59</v>
      </c>
      <c r="D33" s="1">
        <v>46275</v>
      </c>
      <c r="E33">
        <v>1</v>
      </c>
    </row>
    <row r="34" spans="1:5" x14ac:dyDescent="0.3">
      <c r="A34" s="30" t="s">
        <v>43</v>
      </c>
      <c r="B34" s="30" t="s">
        <v>23</v>
      </c>
      <c r="C34" s="30" t="s">
        <v>60</v>
      </c>
      <c r="D34" s="1">
        <v>46276</v>
      </c>
      <c r="E34">
        <v>1</v>
      </c>
    </row>
    <row r="35" spans="1:5" x14ac:dyDescent="0.3">
      <c r="A35" s="30" t="s">
        <v>31</v>
      </c>
      <c r="B35" s="30" t="s">
        <v>23</v>
      </c>
      <c r="C35" s="30" t="s">
        <v>61</v>
      </c>
      <c r="D35" s="1">
        <v>46277</v>
      </c>
      <c r="E35">
        <v>1</v>
      </c>
    </row>
    <row r="36" spans="1:5" x14ac:dyDescent="0.3">
      <c r="A36" s="30" t="s">
        <v>34</v>
      </c>
      <c r="B36" s="30" t="s">
        <v>23</v>
      </c>
      <c r="C36" s="30" t="s">
        <v>62</v>
      </c>
      <c r="D36" s="1">
        <v>46278</v>
      </c>
      <c r="E36">
        <v>1</v>
      </c>
    </row>
    <row r="37" spans="1:5" x14ac:dyDescent="0.3">
      <c r="A37" s="30" t="s">
        <v>50</v>
      </c>
      <c r="B37" s="30" t="s">
        <v>23</v>
      </c>
      <c r="C37" s="30" t="s">
        <v>63</v>
      </c>
      <c r="D37" s="1">
        <v>46279</v>
      </c>
      <c r="E37">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DA402-BBC5-48EF-B45F-FBD823233D0E}">
  <dimension ref="A1:N38"/>
  <sheetViews>
    <sheetView workbookViewId="0"/>
  </sheetViews>
  <sheetFormatPr baseColWidth="10" defaultRowHeight="14.4" x14ac:dyDescent="0.3"/>
  <cols>
    <col min="1" max="1" width="19" bestFit="1" customWidth="1"/>
    <col min="2" max="2" width="12.5546875" bestFit="1" customWidth="1"/>
    <col min="3" max="3" width="15.6640625" bestFit="1" customWidth="1"/>
    <col min="4" max="4" width="18.33203125" bestFit="1" customWidth="1"/>
    <col min="5" max="5" width="17.109375" bestFit="1" customWidth="1"/>
    <col min="6" max="6" width="7.33203125" bestFit="1" customWidth="1"/>
    <col min="7" max="7" width="15.77734375" bestFit="1" customWidth="1"/>
    <col min="8" max="8" width="17.109375" bestFit="1" customWidth="1"/>
    <col min="9" max="9" width="22.6640625" bestFit="1" customWidth="1"/>
    <col min="10" max="10" width="22.21875" bestFit="1" customWidth="1"/>
    <col min="11" max="11" width="27.109375" bestFit="1" customWidth="1"/>
    <col min="12" max="12" width="15.77734375" bestFit="1" customWidth="1"/>
    <col min="13" max="13" width="15.5546875" bestFit="1" customWidth="1"/>
    <col min="14" max="14" width="21.33203125" bestFit="1" customWidth="1"/>
  </cols>
  <sheetData>
    <row r="1" spans="1:14" x14ac:dyDescent="0.3">
      <c r="A1" t="s">
        <v>113</v>
      </c>
      <c r="B1" t="s">
        <v>14</v>
      </c>
      <c r="C1" t="s">
        <v>15</v>
      </c>
      <c r="D1" t="s">
        <v>16</v>
      </c>
      <c r="E1" t="s">
        <v>17</v>
      </c>
      <c r="F1" t="s">
        <v>18</v>
      </c>
      <c r="G1" t="s">
        <v>19</v>
      </c>
      <c r="H1" t="s">
        <v>20</v>
      </c>
      <c r="I1" t="s">
        <v>65</v>
      </c>
      <c r="J1" t="s">
        <v>66</v>
      </c>
      <c r="K1" t="s">
        <v>88</v>
      </c>
      <c r="L1" t="s">
        <v>83</v>
      </c>
      <c r="M1" t="s">
        <v>84</v>
      </c>
      <c r="N1" t="s">
        <v>114</v>
      </c>
    </row>
    <row r="2" spans="1:14" x14ac:dyDescent="0.3">
      <c r="A2" s="30" t="s">
        <v>115</v>
      </c>
      <c r="B2" s="30" t="s">
        <v>21</v>
      </c>
      <c r="C2" s="1">
        <v>46206</v>
      </c>
      <c r="D2" s="30" t="s">
        <v>22</v>
      </c>
      <c r="E2" s="30" t="s">
        <v>23</v>
      </c>
      <c r="F2" s="30" t="s">
        <v>52</v>
      </c>
      <c r="G2" s="30" t="s">
        <v>24</v>
      </c>
      <c r="H2">
        <v>97500</v>
      </c>
      <c r="I2" s="30" t="s">
        <v>67</v>
      </c>
      <c r="J2" s="30" t="s">
        <v>68</v>
      </c>
      <c r="K2">
        <v>97500</v>
      </c>
      <c r="L2">
        <v>0</v>
      </c>
      <c r="M2" t="s">
        <v>85</v>
      </c>
      <c r="N2" t="s">
        <v>116</v>
      </c>
    </row>
    <row r="3" spans="1:14" x14ac:dyDescent="0.3">
      <c r="A3" s="30" t="s">
        <v>115</v>
      </c>
      <c r="B3" s="30" t="s">
        <v>38</v>
      </c>
      <c r="C3" s="1">
        <v>46212</v>
      </c>
      <c r="D3" s="30" t="s">
        <v>22</v>
      </c>
      <c r="E3" s="30" t="s">
        <v>23</v>
      </c>
      <c r="F3" s="30" t="s">
        <v>58</v>
      </c>
      <c r="G3" s="30" t="s">
        <v>39</v>
      </c>
      <c r="H3">
        <v>172500</v>
      </c>
      <c r="I3" s="30" t="s">
        <v>67</v>
      </c>
      <c r="J3" s="30" t="s">
        <v>68</v>
      </c>
      <c r="K3">
        <v>172500</v>
      </c>
      <c r="L3">
        <v>0</v>
      </c>
      <c r="M3" t="s">
        <v>85</v>
      </c>
      <c r="N3" t="s">
        <v>116</v>
      </c>
    </row>
    <row r="4" spans="1:14" x14ac:dyDescent="0.3">
      <c r="A4" s="30" t="s">
        <v>115</v>
      </c>
      <c r="B4" s="30" t="s">
        <v>25</v>
      </c>
      <c r="C4" s="1">
        <v>46207</v>
      </c>
      <c r="D4" s="30" t="s">
        <v>26</v>
      </c>
      <c r="E4" s="30" t="s">
        <v>23</v>
      </c>
      <c r="F4" s="30" t="s">
        <v>53</v>
      </c>
      <c r="G4" s="30" t="s">
        <v>27</v>
      </c>
      <c r="H4">
        <v>110000</v>
      </c>
      <c r="I4" s="30" t="s">
        <v>69</v>
      </c>
      <c r="J4" s="30" t="s">
        <v>70</v>
      </c>
      <c r="K4">
        <v>110000</v>
      </c>
      <c r="L4">
        <v>0</v>
      </c>
      <c r="M4" t="s">
        <v>85</v>
      </c>
      <c r="N4" t="s">
        <v>116</v>
      </c>
    </row>
    <row r="5" spans="1:14" x14ac:dyDescent="0.3">
      <c r="A5" s="30" t="s">
        <v>115</v>
      </c>
      <c r="B5" s="30" t="s">
        <v>28</v>
      </c>
      <c r="C5" s="1">
        <v>46208</v>
      </c>
      <c r="D5" s="30" t="s">
        <v>43</v>
      </c>
      <c r="E5" s="30" t="s">
        <v>23</v>
      </c>
      <c r="F5" s="30" t="s">
        <v>54</v>
      </c>
      <c r="G5" s="30" t="s">
        <v>29</v>
      </c>
      <c r="H5">
        <v>122500</v>
      </c>
      <c r="I5" s="30" t="s">
        <v>71</v>
      </c>
      <c r="J5" s="30" t="s">
        <v>72</v>
      </c>
      <c r="K5">
        <v>122500</v>
      </c>
      <c r="L5">
        <v>0</v>
      </c>
      <c r="M5" t="s">
        <v>85</v>
      </c>
      <c r="N5" t="s">
        <v>116</v>
      </c>
    </row>
    <row r="6" spans="1:14" x14ac:dyDescent="0.3">
      <c r="A6" s="30" t="s">
        <v>115</v>
      </c>
      <c r="B6" s="30" t="s">
        <v>30</v>
      </c>
      <c r="C6" s="1">
        <v>46209</v>
      </c>
      <c r="D6" s="30" t="s">
        <v>31</v>
      </c>
      <c r="E6" s="30" t="s">
        <v>23</v>
      </c>
      <c r="F6" s="30" t="s">
        <v>55</v>
      </c>
      <c r="G6" s="30" t="s">
        <v>32</v>
      </c>
      <c r="H6">
        <v>135000</v>
      </c>
      <c r="I6" s="30" t="s">
        <v>73</v>
      </c>
      <c r="J6" s="30" t="s">
        <v>74</v>
      </c>
      <c r="K6">
        <v>135000</v>
      </c>
      <c r="L6">
        <v>0</v>
      </c>
      <c r="M6" t="s">
        <v>85</v>
      </c>
      <c r="N6" t="s">
        <v>116</v>
      </c>
    </row>
    <row r="7" spans="1:14" x14ac:dyDescent="0.3">
      <c r="A7" s="30" t="s">
        <v>115</v>
      </c>
      <c r="B7" s="30" t="s">
        <v>33</v>
      </c>
      <c r="C7" s="1">
        <v>46210</v>
      </c>
      <c r="D7" s="30" t="s">
        <v>34</v>
      </c>
      <c r="E7" s="30" t="s">
        <v>23</v>
      </c>
      <c r="F7" s="30" t="s">
        <v>56</v>
      </c>
      <c r="G7" s="30" t="s">
        <v>35</v>
      </c>
      <c r="H7">
        <v>147500</v>
      </c>
      <c r="I7" s="30" t="s">
        <v>75</v>
      </c>
      <c r="J7" s="30" t="s">
        <v>76</v>
      </c>
      <c r="K7">
        <v>147500</v>
      </c>
      <c r="L7">
        <v>0</v>
      </c>
      <c r="M7" t="s">
        <v>85</v>
      </c>
      <c r="N7" t="s">
        <v>116</v>
      </c>
    </row>
    <row r="8" spans="1:14" x14ac:dyDescent="0.3">
      <c r="A8" s="30" t="s">
        <v>115</v>
      </c>
      <c r="B8" s="30" t="s">
        <v>36</v>
      </c>
      <c r="C8" s="1">
        <v>46211</v>
      </c>
      <c r="D8" s="30" t="s">
        <v>50</v>
      </c>
      <c r="E8" s="30" t="s">
        <v>23</v>
      </c>
      <c r="F8" s="30" t="s">
        <v>57</v>
      </c>
      <c r="G8" s="30" t="s">
        <v>37</v>
      </c>
      <c r="H8">
        <v>160000</v>
      </c>
      <c r="I8" s="30" t="s">
        <v>77</v>
      </c>
      <c r="J8" s="30" t="s">
        <v>78</v>
      </c>
      <c r="K8">
        <v>160000</v>
      </c>
      <c r="L8">
        <v>0</v>
      </c>
      <c r="M8" t="s">
        <v>85</v>
      </c>
      <c r="N8" t="s">
        <v>116</v>
      </c>
    </row>
    <row r="9" spans="1:14" x14ac:dyDescent="0.3">
      <c r="A9" s="30" t="s">
        <v>115</v>
      </c>
      <c r="B9" s="30" t="s">
        <v>40</v>
      </c>
      <c r="C9" s="1">
        <v>46213</v>
      </c>
      <c r="D9" s="30" t="s">
        <v>26</v>
      </c>
      <c r="E9" s="30" t="s">
        <v>23</v>
      </c>
      <c r="F9" s="30" t="s">
        <v>59</v>
      </c>
      <c r="G9" s="30" t="s">
        <v>41</v>
      </c>
      <c r="H9">
        <v>185000</v>
      </c>
      <c r="I9" s="30" t="s">
        <v>69</v>
      </c>
      <c r="J9" s="30" t="s">
        <v>70</v>
      </c>
      <c r="K9">
        <v>185000</v>
      </c>
      <c r="L9">
        <v>0</v>
      </c>
      <c r="M9" t="s">
        <v>85</v>
      </c>
      <c r="N9" t="s">
        <v>116</v>
      </c>
    </row>
    <row r="10" spans="1:14" x14ac:dyDescent="0.3">
      <c r="A10" s="30" t="s">
        <v>115</v>
      </c>
      <c r="B10" s="30" t="s">
        <v>42</v>
      </c>
      <c r="C10" s="1">
        <v>46214</v>
      </c>
      <c r="D10" s="30" t="s">
        <v>43</v>
      </c>
      <c r="E10" s="30" t="s">
        <v>23</v>
      </c>
      <c r="F10" s="30" t="s">
        <v>60</v>
      </c>
      <c r="G10" s="30" t="s">
        <v>44</v>
      </c>
      <c r="H10">
        <v>197500</v>
      </c>
      <c r="I10" s="30" t="s">
        <v>71</v>
      </c>
      <c r="J10" s="30" t="s">
        <v>72</v>
      </c>
      <c r="K10">
        <v>197500</v>
      </c>
      <c r="L10">
        <v>0</v>
      </c>
      <c r="M10" t="s">
        <v>85</v>
      </c>
      <c r="N10" t="s">
        <v>116</v>
      </c>
    </row>
    <row r="11" spans="1:14" x14ac:dyDescent="0.3">
      <c r="A11" s="30" t="s">
        <v>115</v>
      </c>
      <c r="B11" s="30" t="s">
        <v>45</v>
      </c>
      <c r="C11" s="1">
        <v>46215</v>
      </c>
      <c r="D11" s="30" t="s">
        <v>31</v>
      </c>
      <c r="E11" s="30" t="s">
        <v>23</v>
      </c>
      <c r="F11" s="30" t="s">
        <v>61</v>
      </c>
      <c r="G11" s="30" t="s">
        <v>46</v>
      </c>
      <c r="H11">
        <v>225000</v>
      </c>
      <c r="I11" s="30" t="s">
        <v>73</v>
      </c>
      <c r="J11" s="30" t="s">
        <v>74</v>
      </c>
      <c r="K11">
        <v>210000</v>
      </c>
      <c r="L11">
        <v>15000</v>
      </c>
      <c r="M11" t="s">
        <v>86</v>
      </c>
      <c r="N11" t="s">
        <v>116</v>
      </c>
    </row>
    <row r="12" spans="1:14" x14ac:dyDescent="0.3">
      <c r="A12" s="30" t="s">
        <v>115</v>
      </c>
      <c r="B12" s="30" t="s">
        <v>47</v>
      </c>
      <c r="C12" s="1">
        <v>46216</v>
      </c>
      <c r="D12" s="30" t="s">
        <v>34</v>
      </c>
      <c r="E12" s="30" t="s">
        <v>23</v>
      </c>
      <c r="F12" s="30" t="s">
        <v>62</v>
      </c>
      <c r="G12" s="30" t="s">
        <v>48</v>
      </c>
      <c r="H12">
        <v>222500</v>
      </c>
      <c r="I12" s="30" t="s">
        <v>75</v>
      </c>
      <c r="J12" s="30" t="s">
        <v>76</v>
      </c>
      <c r="K12">
        <v>222500</v>
      </c>
      <c r="L12">
        <v>0</v>
      </c>
      <c r="M12" t="s">
        <v>85</v>
      </c>
      <c r="N12" t="s">
        <v>116</v>
      </c>
    </row>
    <row r="13" spans="1:14" x14ac:dyDescent="0.3">
      <c r="A13" s="30" t="s">
        <v>115</v>
      </c>
      <c r="B13" s="30" t="s">
        <v>49</v>
      </c>
      <c r="C13" s="1">
        <v>46217</v>
      </c>
      <c r="D13" s="30" t="s">
        <v>50</v>
      </c>
      <c r="E13" s="30" t="s">
        <v>23</v>
      </c>
      <c r="F13" s="30" t="s">
        <v>63</v>
      </c>
      <c r="G13" s="30" t="s">
        <v>51</v>
      </c>
      <c r="H13">
        <v>235000</v>
      </c>
      <c r="I13" s="30" t="s">
        <v>77</v>
      </c>
      <c r="J13" s="30" t="s">
        <v>78</v>
      </c>
      <c r="K13">
        <v>235000</v>
      </c>
      <c r="L13">
        <v>0</v>
      </c>
      <c r="M13" t="s">
        <v>85</v>
      </c>
      <c r="N13" t="s">
        <v>116</v>
      </c>
    </row>
    <row r="14" spans="1:14" x14ac:dyDescent="0.3">
      <c r="A14" s="30" t="s">
        <v>117</v>
      </c>
      <c r="B14" s="30" t="s">
        <v>118</v>
      </c>
      <c r="C14" s="1">
        <v>46237</v>
      </c>
      <c r="D14" s="30" t="s">
        <v>22</v>
      </c>
      <c r="E14" s="30" t="s">
        <v>23</v>
      </c>
      <c r="F14" s="30" t="s">
        <v>52</v>
      </c>
      <c r="G14" s="30" t="s">
        <v>89</v>
      </c>
      <c r="H14">
        <v>102500</v>
      </c>
      <c r="I14" s="30" t="s">
        <v>67</v>
      </c>
      <c r="J14" s="30" t="s">
        <v>68</v>
      </c>
      <c r="K14">
        <v>102500</v>
      </c>
      <c r="L14">
        <v>0</v>
      </c>
      <c r="M14" t="s">
        <v>85</v>
      </c>
      <c r="N14" t="s">
        <v>116</v>
      </c>
    </row>
    <row r="15" spans="1:14" x14ac:dyDescent="0.3">
      <c r="A15" s="30" t="s">
        <v>117</v>
      </c>
      <c r="B15" s="30" t="s">
        <v>119</v>
      </c>
      <c r="C15" s="1">
        <v>46237</v>
      </c>
      <c r="D15" s="30" t="s">
        <v>22</v>
      </c>
      <c r="E15" s="30" t="s">
        <v>23</v>
      </c>
      <c r="F15" s="30" t="s">
        <v>52</v>
      </c>
      <c r="G15" s="30" t="s">
        <v>89</v>
      </c>
      <c r="H15">
        <v>102500</v>
      </c>
      <c r="I15" s="30" t="s">
        <v>67</v>
      </c>
      <c r="J15" s="30" t="s">
        <v>68</v>
      </c>
      <c r="K15">
        <v>102500</v>
      </c>
      <c r="L15">
        <v>0</v>
      </c>
      <c r="M15" t="s">
        <v>85</v>
      </c>
      <c r="N15" t="s">
        <v>116</v>
      </c>
    </row>
    <row r="16" spans="1:14" x14ac:dyDescent="0.3">
      <c r="A16" s="30" t="s">
        <v>117</v>
      </c>
      <c r="B16" s="30" t="s">
        <v>120</v>
      </c>
      <c r="C16" s="1">
        <v>46238</v>
      </c>
      <c r="D16" s="30" t="s">
        <v>26</v>
      </c>
      <c r="E16" s="30" t="s">
        <v>23</v>
      </c>
      <c r="F16" s="30" t="s">
        <v>53</v>
      </c>
      <c r="G16" s="30" t="s">
        <v>90</v>
      </c>
      <c r="H16">
        <v>115000</v>
      </c>
      <c r="I16" s="30" t="s">
        <v>69</v>
      </c>
      <c r="J16" s="30" t="s">
        <v>70</v>
      </c>
      <c r="K16">
        <v>115000</v>
      </c>
      <c r="L16">
        <v>0</v>
      </c>
      <c r="M16" t="s">
        <v>85</v>
      </c>
      <c r="N16" t="s">
        <v>116</v>
      </c>
    </row>
    <row r="17" spans="1:14" x14ac:dyDescent="0.3">
      <c r="A17" s="30" t="s">
        <v>117</v>
      </c>
      <c r="B17" s="30" t="s">
        <v>121</v>
      </c>
      <c r="C17" s="1">
        <v>46239</v>
      </c>
      <c r="D17" s="30" t="s">
        <v>43</v>
      </c>
      <c r="E17" s="30" t="s">
        <v>23</v>
      </c>
      <c r="F17" s="30" t="s">
        <v>54</v>
      </c>
      <c r="G17" s="30" t="s">
        <v>91</v>
      </c>
      <c r="H17">
        <v>127500</v>
      </c>
      <c r="I17" s="30" t="s">
        <v>71</v>
      </c>
      <c r="J17" s="30" t="s">
        <v>72</v>
      </c>
      <c r="K17">
        <v>127500</v>
      </c>
      <c r="L17">
        <v>0</v>
      </c>
      <c r="M17" t="s">
        <v>85</v>
      </c>
      <c r="N17" t="s">
        <v>116</v>
      </c>
    </row>
    <row r="18" spans="1:14" x14ac:dyDescent="0.3">
      <c r="A18" s="30" t="s">
        <v>117</v>
      </c>
      <c r="B18" s="30" t="s">
        <v>122</v>
      </c>
      <c r="C18" s="1">
        <v>46240</v>
      </c>
      <c r="D18" s="30" t="s">
        <v>31</v>
      </c>
      <c r="E18" s="30" t="s">
        <v>23</v>
      </c>
      <c r="F18" s="30" t="s">
        <v>55</v>
      </c>
      <c r="G18" s="30" t="s">
        <v>92</v>
      </c>
      <c r="H18">
        <v>140000</v>
      </c>
      <c r="I18" s="30" t="s">
        <v>73</v>
      </c>
      <c r="J18" s="30" t="s">
        <v>74</v>
      </c>
      <c r="K18">
        <v>140000</v>
      </c>
      <c r="L18">
        <v>0</v>
      </c>
      <c r="M18" t="s">
        <v>85</v>
      </c>
      <c r="N18" t="s">
        <v>116</v>
      </c>
    </row>
    <row r="19" spans="1:14" x14ac:dyDescent="0.3">
      <c r="A19" s="30" t="s">
        <v>117</v>
      </c>
      <c r="B19" s="30" t="s">
        <v>123</v>
      </c>
      <c r="C19" s="1">
        <v>46241</v>
      </c>
      <c r="D19" s="30" t="s">
        <v>124</v>
      </c>
      <c r="E19" s="30" t="s">
        <v>23</v>
      </c>
      <c r="F19" s="30" t="s">
        <v>56</v>
      </c>
      <c r="G19" s="30" t="s">
        <v>93</v>
      </c>
      <c r="H19">
        <v>152500</v>
      </c>
      <c r="I19" s="30"/>
      <c r="J19" s="30"/>
      <c r="K19">
        <v>152500</v>
      </c>
      <c r="L19">
        <v>0</v>
      </c>
      <c r="M19" t="s">
        <v>85</v>
      </c>
      <c r="N19" t="s">
        <v>125</v>
      </c>
    </row>
    <row r="20" spans="1:14" x14ac:dyDescent="0.3">
      <c r="A20" s="30" t="s">
        <v>117</v>
      </c>
      <c r="B20" s="30" t="s">
        <v>126</v>
      </c>
      <c r="C20" s="1">
        <v>46242</v>
      </c>
      <c r="D20" s="30" t="s">
        <v>50</v>
      </c>
      <c r="E20" s="30" t="s">
        <v>23</v>
      </c>
      <c r="F20" s="30" t="s">
        <v>57</v>
      </c>
      <c r="G20" s="30" t="s">
        <v>94</v>
      </c>
      <c r="H20">
        <v>165000</v>
      </c>
      <c r="I20" s="30" t="s">
        <v>77</v>
      </c>
      <c r="J20" s="30" t="s">
        <v>78</v>
      </c>
      <c r="K20">
        <v>165000</v>
      </c>
      <c r="L20">
        <v>0</v>
      </c>
      <c r="M20" t="s">
        <v>85</v>
      </c>
      <c r="N20" t="s">
        <v>116</v>
      </c>
    </row>
    <row r="21" spans="1:14" x14ac:dyDescent="0.3">
      <c r="A21" s="30" t="s">
        <v>117</v>
      </c>
      <c r="B21" s="30" t="s">
        <v>127</v>
      </c>
      <c r="C21" s="1">
        <v>46243</v>
      </c>
      <c r="D21" s="30" t="s">
        <v>22</v>
      </c>
      <c r="E21" s="30" t="s">
        <v>23</v>
      </c>
      <c r="F21" s="30" t="s">
        <v>58</v>
      </c>
      <c r="G21" s="30" t="s">
        <v>95</v>
      </c>
      <c r="H21">
        <v>177500</v>
      </c>
      <c r="I21" s="30" t="s">
        <v>67</v>
      </c>
      <c r="J21" s="30" t="s">
        <v>68</v>
      </c>
      <c r="K21">
        <v>177500</v>
      </c>
      <c r="L21">
        <v>0</v>
      </c>
      <c r="M21" t="s">
        <v>85</v>
      </c>
      <c r="N21" t="s">
        <v>116</v>
      </c>
    </row>
    <row r="22" spans="1:14" x14ac:dyDescent="0.3">
      <c r="A22" s="30" t="s">
        <v>117</v>
      </c>
      <c r="B22" s="30" t="s">
        <v>128</v>
      </c>
      <c r="C22" s="1">
        <v>46244</v>
      </c>
      <c r="D22" s="30" t="s">
        <v>26</v>
      </c>
      <c r="E22" s="30" t="s">
        <v>23</v>
      </c>
      <c r="F22" s="30" t="s">
        <v>59</v>
      </c>
      <c r="G22" s="30" t="s">
        <v>3</v>
      </c>
      <c r="H22">
        <v>190000</v>
      </c>
      <c r="I22" s="30" t="s">
        <v>69</v>
      </c>
      <c r="J22" s="30" t="s">
        <v>70</v>
      </c>
      <c r="M22" t="s">
        <v>129</v>
      </c>
      <c r="N22" t="s">
        <v>116</v>
      </c>
    </row>
    <row r="23" spans="1:14" x14ac:dyDescent="0.3">
      <c r="A23" s="30" t="s">
        <v>117</v>
      </c>
      <c r="B23" s="30" t="s">
        <v>130</v>
      </c>
      <c r="C23" s="1">
        <v>46245</v>
      </c>
      <c r="D23" s="30" t="s">
        <v>43</v>
      </c>
      <c r="E23" s="30" t="s">
        <v>23</v>
      </c>
      <c r="F23" s="30" t="s">
        <v>60</v>
      </c>
      <c r="G23" s="30" t="s">
        <v>97</v>
      </c>
      <c r="H23">
        <v>202500</v>
      </c>
      <c r="I23" s="30" t="s">
        <v>71</v>
      </c>
      <c r="J23" s="30" t="s">
        <v>72</v>
      </c>
      <c r="K23">
        <v>202500</v>
      </c>
      <c r="L23">
        <v>0</v>
      </c>
      <c r="M23" t="s">
        <v>85</v>
      </c>
      <c r="N23" t="s">
        <v>116</v>
      </c>
    </row>
    <row r="24" spans="1:14" x14ac:dyDescent="0.3">
      <c r="A24" s="30" t="s">
        <v>117</v>
      </c>
      <c r="B24" s="30" t="s">
        <v>131</v>
      </c>
      <c r="C24" s="1">
        <v>46246</v>
      </c>
      <c r="D24" s="30" t="s">
        <v>31</v>
      </c>
      <c r="E24" s="30" t="s">
        <v>23</v>
      </c>
      <c r="F24" s="30" t="s">
        <v>61</v>
      </c>
      <c r="G24" s="30" t="s">
        <v>98</v>
      </c>
      <c r="H24">
        <v>215000</v>
      </c>
      <c r="I24" s="30" t="s">
        <v>73</v>
      </c>
      <c r="J24" s="30" t="s">
        <v>74</v>
      </c>
      <c r="K24">
        <v>215000</v>
      </c>
      <c r="L24">
        <v>0</v>
      </c>
      <c r="M24" t="s">
        <v>85</v>
      </c>
      <c r="N24" t="s">
        <v>116</v>
      </c>
    </row>
    <row r="25" spans="1:14" x14ac:dyDescent="0.3">
      <c r="A25" s="30" t="s">
        <v>117</v>
      </c>
      <c r="B25" s="30" t="s">
        <v>132</v>
      </c>
      <c r="C25" s="1">
        <v>46247</v>
      </c>
      <c r="D25" s="30" t="s">
        <v>34</v>
      </c>
      <c r="E25" s="30" t="s">
        <v>23</v>
      </c>
      <c r="F25" s="30" t="s">
        <v>62</v>
      </c>
      <c r="G25" s="30" t="s">
        <v>99</v>
      </c>
      <c r="H25">
        <v>227500</v>
      </c>
      <c r="I25" s="30" t="s">
        <v>75</v>
      </c>
      <c r="J25" s="30" t="s">
        <v>76</v>
      </c>
      <c r="K25">
        <v>227500</v>
      </c>
      <c r="L25">
        <v>0</v>
      </c>
      <c r="M25" t="s">
        <v>85</v>
      </c>
      <c r="N25" t="s">
        <v>116</v>
      </c>
    </row>
    <row r="26" spans="1:14" x14ac:dyDescent="0.3">
      <c r="A26" s="30" t="s">
        <v>117</v>
      </c>
      <c r="B26" s="30" t="s">
        <v>133</v>
      </c>
      <c r="C26" s="1">
        <v>46248</v>
      </c>
      <c r="D26" s="30" t="s">
        <v>50</v>
      </c>
      <c r="E26" s="30" t="s">
        <v>23</v>
      </c>
      <c r="F26" s="30" t="s">
        <v>63</v>
      </c>
      <c r="G26" s="30" t="s">
        <v>100</v>
      </c>
      <c r="H26">
        <v>240000</v>
      </c>
      <c r="I26" s="30" t="s">
        <v>77</v>
      </c>
      <c r="J26" s="30" t="s">
        <v>78</v>
      </c>
      <c r="K26">
        <v>240000</v>
      </c>
      <c r="L26">
        <v>0</v>
      </c>
      <c r="M26" t="s">
        <v>85</v>
      </c>
      <c r="N26" t="s">
        <v>116</v>
      </c>
    </row>
    <row r="27" spans="1:14" x14ac:dyDescent="0.3">
      <c r="A27" s="30" t="s">
        <v>134</v>
      </c>
      <c r="B27" s="30" t="s">
        <v>135</v>
      </c>
      <c r="C27" s="1">
        <v>46268</v>
      </c>
      <c r="D27" s="30" t="s">
        <v>22</v>
      </c>
      <c r="E27" s="30" t="s">
        <v>23</v>
      </c>
      <c r="F27" s="30" t="s">
        <v>52</v>
      </c>
      <c r="G27" s="30" t="s">
        <v>101</v>
      </c>
      <c r="H27">
        <v>107500</v>
      </c>
      <c r="I27" s="30" t="s">
        <v>67</v>
      </c>
      <c r="J27" s="30" t="s">
        <v>68</v>
      </c>
      <c r="K27">
        <v>107500</v>
      </c>
      <c r="L27">
        <v>0</v>
      </c>
      <c r="M27" t="s">
        <v>85</v>
      </c>
      <c r="N27" t="s">
        <v>116</v>
      </c>
    </row>
    <row r="28" spans="1:14" x14ac:dyDescent="0.3">
      <c r="A28" s="30" t="s">
        <v>134</v>
      </c>
      <c r="B28" s="30" t="s">
        <v>136</v>
      </c>
      <c r="C28" s="1">
        <v>46269</v>
      </c>
      <c r="D28" s="30" t="s">
        <v>26</v>
      </c>
      <c r="E28" s="30" t="s">
        <v>23</v>
      </c>
      <c r="F28" s="30" t="s">
        <v>53</v>
      </c>
      <c r="G28" s="30" t="s">
        <v>102</v>
      </c>
      <c r="H28">
        <v>120000</v>
      </c>
      <c r="I28" s="30" t="s">
        <v>69</v>
      </c>
      <c r="J28" s="30" t="s">
        <v>70</v>
      </c>
      <c r="K28">
        <v>120000</v>
      </c>
      <c r="L28">
        <v>0</v>
      </c>
      <c r="M28" t="s">
        <v>85</v>
      </c>
      <c r="N28" t="s">
        <v>116</v>
      </c>
    </row>
    <row r="29" spans="1:14" x14ac:dyDescent="0.3">
      <c r="A29" s="30" t="s">
        <v>134</v>
      </c>
      <c r="B29" s="30" t="s">
        <v>137</v>
      </c>
      <c r="C29" s="1">
        <v>46270</v>
      </c>
      <c r="D29" s="30" t="s">
        <v>43</v>
      </c>
      <c r="E29" s="30" t="s">
        <v>23</v>
      </c>
      <c r="F29" s="30" t="s">
        <v>54</v>
      </c>
      <c r="G29" s="30" t="s">
        <v>103</v>
      </c>
      <c r="H29">
        <v>132500</v>
      </c>
      <c r="I29" s="30" t="s">
        <v>71</v>
      </c>
      <c r="J29" s="30" t="s">
        <v>72</v>
      </c>
      <c r="K29">
        <v>132500</v>
      </c>
      <c r="L29">
        <v>0</v>
      </c>
      <c r="M29" t="s">
        <v>85</v>
      </c>
      <c r="N29" t="s">
        <v>116</v>
      </c>
    </row>
    <row r="30" spans="1:14" x14ac:dyDescent="0.3">
      <c r="A30" s="30" t="s">
        <v>134</v>
      </c>
      <c r="B30" s="30" t="s">
        <v>138</v>
      </c>
      <c r="C30" s="1">
        <v>46271</v>
      </c>
      <c r="D30" s="30" t="s">
        <v>31</v>
      </c>
      <c r="E30" s="30" t="s">
        <v>23</v>
      </c>
      <c r="F30" s="30" t="s">
        <v>55</v>
      </c>
      <c r="G30" s="30" t="s">
        <v>139</v>
      </c>
      <c r="H30">
        <v>145000</v>
      </c>
      <c r="I30" s="30" t="s">
        <v>73</v>
      </c>
      <c r="J30" s="30" t="s">
        <v>74</v>
      </c>
      <c r="M30" t="s">
        <v>129</v>
      </c>
      <c r="N30" t="s">
        <v>116</v>
      </c>
    </row>
    <row r="31" spans="1:14" x14ac:dyDescent="0.3">
      <c r="A31" s="30" t="s">
        <v>134</v>
      </c>
      <c r="B31" s="30" t="s">
        <v>140</v>
      </c>
      <c r="C31" s="1">
        <v>46272</v>
      </c>
      <c r="D31" s="30" t="s">
        <v>34</v>
      </c>
      <c r="E31" s="30" t="s">
        <v>23</v>
      </c>
      <c r="F31" s="30" t="s">
        <v>56</v>
      </c>
      <c r="G31" s="30" t="s">
        <v>105</v>
      </c>
      <c r="H31">
        <v>157500</v>
      </c>
      <c r="I31" s="30" t="s">
        <v>75</v>
      </c>
      <c r="J31" s="30" t="s">
        <v>76</v>
      </c>
      <c r="K31">
        <v>157500</v>
      </c>
      <c r="L31">
        <v>0</v>
      </c>
      <c r="M31" t="s">
        <v>85</v>
      </c>
      <c r="N31" t="s">
        <v>116</v>
      </c>
    </row>
    <row r="32" spans="1:14" x14ac:dyDescent="0.3">
      <c r="A32" s="30" t="s">
        <v>134</v>
      </c>
      <c r="B32" s="30" t="s">
        <v>141</v>
      </c>
      <c r="C32" s="1">
        <v>46273</v>
      </c>
      <c r="D32" s="30" t="s">
        <v>50</v>
      </c>
      <c r="E32" s="30" t="s">
        <v>23</v>
      </c>
      <c r="F32" s="30" t="s">
        <v>57</v>
      </c>
      <c r="G32" s="30" t="s">
        <v>106</v>
      </c>
      <c r="H32">
        <v>170000</v>
      </c>
      <c r="I32" s="30" t="s">
        <v>77</v>
      </c>
      <c r="J32" s="30" t="s">
        <v>78</v>
      </c>
      <c r="K32">
        <v>170000</v>
      </c>
      <c r="L32">
        <v>0</v>
      </c>
      <c r="M32" t="s">
        <v>85</v>
      </c>
      <c r="N32" t="s">
        <v>116</v>
      </c>
    </row>
    <row r="33" spans="1:14" x14ac:dyDescent="0.3">
      <c r="A33" s="30" t="s">
        <v>134</v>
      </c>
      <c r="B33" s="30" t="s">
        <v>142</v>
      </c>
      <c r="C33" s="1">
        <v>46274</v>
      </c>
      <c r="D33" s="30" t="s">
        <v>22</v>
      </c>
      <c r="E33" s="30" t="s">
        <v>23</v>
      </c>
      <c r="F33" s="30" t="s">
        <v>58</v>
      </c>
      <c r="G33" s="30" t="s">
        <v>107</v>
      </c>
      <c r="H33">
        <v>182500</v>
      </c>
      <c r="I33" s="30" t="s">
        <v>67</v>
      </c>
      <c r="J33" s="30" t="s">
        <v>68</v>
      </c>
      <c r="K33">
        <v>182500</v>
      </c>
      <c r="L33">
        <v>0</v>
      </c>
      <c r="M33" t="s">
        <v>85</v>
      </c>
      <c r="N33" t="s">
        <v>116</v>
      </c>
    </row>
    <row r="34" spans="1:14" x14ac:dyDescent="0.3">
      <c r="A34" s="30" t="s">
        <v>134</v>
      </c>
      <c r="B34" s="30" t="s">
        <v>143</v>
      </c>
      <c r="C34" s="1">
        <v>46275</v>
      </c>
      <c r="D34" s="30" t="s">
        <v>26</v>
      </c>
      <c r="E34" s="30" t="s">
        <v>23</v>
      </c>
      <c r="F34" s="30" t="s">
        <v>59</v>
      </c>
      <c r="G34" s="30" t="s">
        <v>108</v>
      </c>
      <c r="H34">
        <v>195000</v>
      </c>
      <c r="I34" s="30" t="s">
        <v>69</v>
      </c>
      <c r="J34" s="30" t="s">
        <v>70</v>
      </c>
      <c r="K34">
        <v>195000</v>
      </c>
      <c r="L34">
        <v>0</v>
      </c>
      <c r="M34" t="s">
        <v>85</v>
      </c>
      <c r="N34" t="s">
        <v>116</v>
      </c>
    </row>
    <row r="35" spans="1:14" x14ac:dyDescent="0.3">
      <c r="A35" s="30" t="s">
        <v>134</v>
      </c>
      <c r="B35" s="30" t="s">
        <v>144</v>
      </c>
      <c r="C35" s="1">
        <v>46276</v>
      </c>
      <c r="D35" s="30" t="s">
        <v>43</v>
      </c>
      <c r="E35" s="30" t="s">
        <v>23</v>
      </c>
      <c r="F35" s="30" t="s">
        <v>60</v>
      </c>
      <c r="G35" s="30" t="s">
        <v>109</v>
      </c>
      <c r="H35">
        <v>232500</v>
      </c>
      <c r="I35" s="30" t="s">
        <v>71</v>
      </c>
      <c r="J35" s="30" t="s">
        <v>72</v>
      </c>
      <c r="K35">
        <v>207500</v>
      </c>
      <c r="L35">
        <v>25000</v>
      </c>
      <c r="M35" t="s">
        <v>86</v>
      </c>
      <c r="N35" t="s">
        <v>116</v>
      </c>
    </row>
    <row r="36" spans="1:14" x14ac:dyDescent="0.3">
      <c r="A36" s="30" t="s">
        <v>134</v>
      </c>
      <c r="B36" s="30" t="s">
        <v>145</v>
      </c>
      <c r="C36" s="1">
        <v>46277</v>
      </c>
      <c r="D36" s="30" t="s">
        <v>31</v>
      </c>
      <c r="E36" s="30" t="s">
        <v>23</v>
      </c>
      <c r="F36" s="30" t="s">
        <v>61</v>
      </c>
      <c r="G36" s="30" t="s">
        <v>110</v>
      </c>
      <c r="H36">
        <v>220000</v>
      </c>
      <c r="I36" s="30" t="s">
        <v>73</v>
      </c>
      <c r="J36" s="30" t="s">
        <v>74</v>
      </c>
      <c r="K36">
        <v>220000</v>
      </c>
      <c r="L36">
        <v>0</v>
      </c>
      <c r="M36" t="s">
        <v>85</v>
      </c>
      <c r="N36" t="s">
        <v>116</v>
      </c>
    </row>
    <row r="37" spans="1:14" x14ac:dyDescent="0.3">
      <c r="A37" s="30" t="s">
        <v>134</v>
      </c>
      <c r="B37" s="30" t="s">
        <v>146</v>
      </c>
      <c r="C37" s="1">
        <v>46278</v>
      </c>
      <c r="D37" s="30" t="s">
        <v>34</v>
      </c>
      <c r="E37" s="30" t="s">
        <v>23</v>
      </c>
      <c r="F37" s="30" t="s">
        <v>62</v>
      </c>
      <c r="G37" s="30" t="s">
        <v>111</v>
      </c>
      <c r="H37">
        <v>232500</v>
      </c>
      <c r="I37" s="30" t="s">
        <v>75</v>
      </c>
      <c r="J37" s="30" t="s">
        <v>76</v>
      </c>
      <c r="K37">
        <v>232500</v>
      </c>
      <c r="L37">
        <v>0</v>
      </c>
      <c r="M37" t="s">
        <v>85</v>
      </c>
      <c r="N37" t="s">
        <v>116</v>
      </c>
    </row>
    <row r="38" spans="1:14" x14ac:dyDescent="0.3">
      <c r="A38" s="30" t="s">
        <v>134</v>
      </c>
      <c r="B38" s="30" t="s">
        <v>147</v>
      </c>
      <c r="C38" s="1">
        <v>46279</v>
      </c>
      <c r="D38" s="30" t="s">
        <v>50</v>
      </c>
      <c r="E38" s="30" t="s">
        <v>23</v>
      </c>
      <c r="F38" s="30" t="s">
        <v>63</v>
      </c>
      <c r="G38" s="30" t="s">
        <v>112</v>
      </c>
      <c r="H38">
        <v>245000</v>
      </c>
      <c r="I38" s="30" t="s">
        <v>77</v>
      </c>
      <c r="J38" s="30" t="s">
        <v>78</v>
      </c>
      <c r="K38">
        <v>245000</v>
      </c>
      <c r="L38">
        <v>0</v>
      </c>
      <c r="M38" t="s">
        <v>85</v>
      </c>
      <c r="N38" t="s">
        <v>116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51F7C-11C8-4213-BA69-AD50C8924973}">
  <dimension ref="A1:L14"/>
  <sheetViews>
    <sheetView zoomScale="70" workbookViewId="0">
      <selection activeCell="J27" sqref="J27"/>
    </sheetView>
  </sheetViews>
  <sheetFormatPr baseColWidth="10" defaultRowHeight="14.4" x14ac:dyDescent="0.3"/>
  <cols>
    <col min="1" max="1" width="13.88671875" bestFit="1" customWidth="1"/>
    <col min="2" max="2" width="16.88671875" bestFit="1" customWidth="1"/>
    <col min="3" max="3" width="20" bestFit="1" customWidth="1"/>
    <col min="4" max="4" width="18.6640625" bestFit="1" customWidth="1"/>
    <col min="5" max="5" width="8.5546875" bestFit="1" customWidth="1"/>
    <col min="6" max="6" width="17.109375" bestFit="1" customWidth="1"/>
    <col min="7" max="7" width="18.88671875" bestFit="1" customWidth="1"/>
    <col min="8" max="8" width="24.6640625" bestFit="1" customWidth="1"/>
    <col min="9" max="9" width="23.88671875" bestFit="1" customWidth="1"/>
    <col min="10" max="10" width="44.88671875" bestFit="1" customWidth="1"/>
    <col min="11" max="12" width="17.109375" bestFit="1" customWidth="1"/>
  </cols>
  <sheetData>
    <row r="1" spans="1:12" x14ac:dyDescent="0.3">
      <c r="A1" t="s">
        <v>14</v>
      </c>
      <c r="B1" t="s">
        <v>15</v>
      </c>
      <c r="C1" t="s">
        <v>16</v>
      </c>
      <c r="D1" t="s">
        <v>17</v>
      </c>
      <c r="E1" t="s">
        <v>18</v>
      </c>
      <c r="F1" t="s">
        <v>19</v>
      </c>
      <c r="G1" t="s">
        <v>20</v>
      </c>
      <c r="H1" t="s">
        <v>65</v>
      </c>
      <c r="I1" t="s">
        <v>66</v>
      </c>
      <c r="J1" t="s">
        <v>82</v>
      </c>
      <c r="K1" t="s">
        <v>83</v>
      </c>
      <c r="L1" t="s">
        <v>84</v>
      </c>
    </row>
    <row r="2" spans="1:12" x14ac:dyDescent="0.3">
      <c r="A2" t="s">
        <v>21</v>
      </c>
      <c r="B2" s="1">
        <v>46206</v>
      </c>
      <c r="C2" t="s">
        <v>22</v>
      </c>
      <c r="D2" t="s">
        <v>23</v>
      </c>
      <c r="E2" t="s">
        <v>52</v>
      </c>
      <c r="F2" t="s">
        <v>24</v>
      </c>
      <c r="G2">
        <v>97500</v>
      </c>
      <c r="H2" t="s">
        <v>67</v>
      </c>
      <c r="I2" t="s">
        <v>68</v>
      </c>
      <c r="J2">
        <v>97500</v>
      </c>
      <c r="K2">
        <v>0</v>
      </c>
      <c r="L2" t="s">
        <v>85</v>
      </c>
    </row>
    <row r="3" spans="1:12" x14ac:dyDescent="0.3">
      <c r="A3" t="s">
        <v>38</v>
      </c>
      <c r="B3" s="1">
        <v>46212</v>
      </c>
      <c r="C3" t="s">
        <v>22</v>
      </c>
      <c r="D3" t="s">
        <v>23</v>
      </c>
      <c r="E3" t="s">
        <v>58</v>
      </c>
      <c r="F3" t="s">
        <v>39</v>
      </c>
      <c r="G3">
        <v>172500</v>
      </c>
      <c r="H3" t="s">
        <v>67</v>
      </c>
      <c r="I3" t="s">
        <v>68</v>
      </c>
      <c r="J3">
        <v>172500</v>
      </c>
      <c r="K3">
        <v>0</v>
      </c>
      <c r="L3" t="s">
        <v>85</v>
      </c>
    </row>
    <row r="4" spans="1:12" x14ac:dyDescent="0.3">
      <c r="A4" t="s">
        <v>25</v>
      </c>
      <c r="B4" s="1">
        <v>46207</v>
      </c>
      <c r="C4" t="s">
        <v>26</v>
      </c>
      <c r="D4" t="s">
        <v>23</v>
      </c>
      <c r="E4" t="s">
        <v>53</v>
      </c>
      <c r="F4" t="s">
        <v>27</v>
      </c>
      <c r="G4">
        <v>110000</v>
      </c>
      <c r="H4" t="s">
        <v>69</v>
      </c>
      <c r="I4" t="s">
        <v>70</v>
      </c>
      <c r="J4">
        <v>110000</v>
      </c>
      <c r="K4">
        <v>0</v>
      </c>
      <c r="L4" t="s">
        <v>85</v>
      </c>
    </row>
    <row r="5" spans="1:12" x14ac:dyDescent="0.3">
      <c r="A5" t="s">
        <v>28</v>
      </c>
      <c r="B5" s="1">
        <v>46208</v>
      </c>
      <c r="C5" t="s">
        <v>43</v>
      </c>
      <c r="D5" t="s">
        <v>23</v>
      </c>
      <c r="E5" t="s">
        <v>54</v>
      </c>
      <c r="F5" t="s">
        <v>29</v>
      </c>
      <c r="G5">
        <v>122500</v>
      </c>
      <c r="H5" t="s">
        <v>71</v>
      </c>
      <c r="I5" t="s">
        <v>72</v>
      </c>
      <c r="J5">
        <v>122500</v>
      </c>
      <c r="K5">
        <v>0</v>
      </c>
      <c r="L5" t="s">
        <v>85</v>
      </c>
    </row>
    <row r="6" spans="1:12" x14ac:dyDescent="0.3">
      <c r="A6" t="s">
        <v>30</v>
      </c>
      <c r="B6" s="1">
        <v>46209</v>
      </c>
      <c r="C6" t="s">
        <v>31</v>
      </c>
      <c r="D6" t="s">
        <v>23</v>
      </c>
      <c r="E6" t="s">
        <v>55</v>
      </c>
      <c r="F6" t="s">
        <v>32</v>
      </c>
      <c r="G6">
        <v>135000</v>
      </c>
      <c r="H6" t="s">
        <v>73</v>
      </c>
      <c r="I6" t="s">
        <v>74</v>
      </c>
      <c r="J6">
        <v>135000</v>
      </c>
      <c r="K6">
        <v>0</v>
      </c>
      <c r="L6" t="s">
        <v>85</v>
      </c>
    </row>
    <row r="7" spans="1:12" x14ac:dyDescent="0.3">
      <c r="A7" t="s">
        <v>33</v>
      </c>
      <c r="B7" s="1">
        <v>46210</v>
      </c>
      <c r="C7" t="s">
        <v>34</v>
      </c>
      <c r="D7" t="s">
        <v>23</v>
      </c>
      <c r="E7" t="s">
        <v>56</v>
      </c>
      <c r="F7" t="s">
        <v>35</v>
      </c>
      <c r="G7">
        <v>147500</v>
      </c>
      <c r="H7" t="s">
        <v>75</v>
      </c>
      <c r="I7" t="s">
        <v>76</v>
      </c>
      <c r="J7">
        <v>147500</v>
      </c>
      <c r="K7">
        <v>0</v>
      </c>
      <c r="L7" t="s">
        <v>85</v>
      </c>
    </row>
    <row r="8" spans="1:12" x14ac:dyDescent="0.3">
      <c r="A8" t="s">
        <v>36</v>
      </c>
      <c r="B8" s="1">
        <v>46211</v>
      </c>
      <c r="C8" t="s">
        <v>50</v>
      </c>
      <c r="D8" t="s">
        <v>23</v>
      </c>
      <c r="E8" t="s">
        <v>57</v>
      </c>
      <c r="F8" t="s">
        <v>37</v>
      </c>
      <c r="G8">
        <v>160000</v>
      </c>
      <c r="H8" t="s">
        <v>77</v>
      </c>
      <c r="I8" t="s">
        <v>78</v>
      </c>
      <c r="J8">
        <v>160000</v>
      </c>
      <c r="K8">
        <v>0</v>
      </c>
      <c r="L8" t="s">
        <v>85</v>
      </c>
    </row>
    <row r="9" spans="1:12" x14ac:dyDescent="0.3">
      <c r="A9" t="s">
        <v>40</v>
      </c>
      <c r="B9" s="1">
        <v>46213</v>
      </c>
      <c r="C9" t="s">
        <v>26</v>
      </c>
      <c r="D9" t="s">
        <v>23</v>
      </c>
      <c r="E9" t="s">
        <v>59</v>
      </c>
      <c r="F9" t="s">
        <v>41</v>
      </c>
      <c r="G9">
        <v>185000</v>
      </c>
      <c r="H9" t="s">
        <v>69</v>
      </c>
      <c r="I9" t="s">
        <v>70</v>
      </c>
      <c r="J9">
        <v>185000</v>
      </c>
      <c r="K9">
        <v>0</v>
      </c>
      <c r="L9" t="s">
        <v>85</v>
      </c>
    </row>
    <row r="10" spans="1:12" x14ac:dyDescent="0.3">
      <c r="A10" t="s">
        <v>42</v>
      </c>
      <c r="B10" s="1">
        <v>46214</v>
      </c>
      <c r="C10" t="s">
        <v>43</v>
      </c>
      <c r="D10" t="s">
        <v>23</v>
      </c>
      <c r="E10" t="s">
        <v>60</v>
      </c>
      <c r="F10" t="s">
        <v>44</v>
      </c>
      <c r="G10">
        <v>197500</v>
      </c>
      <c r="H10" t="s">
        <v>71</v>
      </c>
      <c r="I10" t="s">
        <v>72</v>
      </c>
      <c r="J10">
        <v>197500</v>
      </c>
      <c r="K10">
        <v>0</v>
      </c>
      <c r="L10" t="s">
        <v>85</v>
      </c>
    </row>
    <row r="11" spans="1:12" x14ac:dyDescent="0.3">
      <c r="A11" t="s">
        <v>45</v>
      </c>
      <c r="B11" s="1">
        <v>46215</v>
      </c>
      <c r="C11" t="s">
        <v>31</v>
      </c>
      <c r="D11" t="s">
        <v>23</v>
      </c>
      <c r="E11" t="s">
        <v>61</v>
      </c>
      <c r="F11" t="s">
        <v>46</v>
      </c>
      <c r="G11">
        <v>225000</v>
      </c>
      <c r="H11" t="s">
        <v>73</v>
      </c>
      <c r="I11" t="s">
        <v>74</v>
      </c>
      <c r="J11">
        <v>210000</v>
      </c>
      <c r="K11">
        <v>15000</v>
      </c>
      <c r="L11" t="s">
        <v>86</v>
      </c>
    </row>
    <row r="12" spans="1:12" x14ac:dyDescent="0.3">
      <c r="A12" t="s">
        <v>47</v>
      </c>
      <c r="B12" s="1">
        <v>46216</v>
      </c>
      <c r="C12" t="s">
        <v>34</v>
      </c>
      <c r="D12" t="s">
        <v>23</v>
      </c>
      <c r="E12" t="s">
        <v>62</v>
      </c>
      <c r="F12" t="s">
        <v>48</v>
      </c>
      <c r="G12">
        <v>222500</v>
      </c>
      <c r="H12" t="s">
        <v>75</v>
      </c>
      <c r="I12" t="s">
        <v>76</v>
      </c>
      <c r="J12">
        <v>222500</v>
      </c>
      <c r="K12">
        <v>0</v>
      </c>
      <c r="L12" t="s">
        <v>85</v>
      </c>
    </row>
    <row r="13" spans="1:12" x14ac:dyDescent="0.3">
      <c r="A13" t="s">
        <v>49</v>
      </c>
      <c r="B13" s="1">
        <v>46217</v>
      </c>
      <c r="C13" t="s">
        <v>50</v>
      </c>
      <c r="D13" t="s">
        <v>23</v>
      </c>
      <c r="E13" t="s">
        <v>63</v>
      </c>
      <c r="F13" t="s">
        <v>51</v>
      </c>
      <c r="G13">
        <v>235000</v>
      </c>
      <c r="H13" t="s">
        <v>77</v>
      </c>
      <c r="I13" t="s">
        <v>78</v>
      </c>
      <c r="J13">
        <v>235000</v>
      </c>
      <c r="K13">
        <v>0</v>
      </c>
      <c r="L13" t="s">
        <v>85</v>
      </c>
    </row>
    <row r="14" spans="1:12" x14ac:dyDescent="0.3">
      <c r="A14" t="s">
        <v>64</v>
      </c>
      <c r="G14">
        <f>SUBTOTAL(109,Facturas_Julio[Monto_Neto_CLP])</f>
        <v>2010000</v>
      </c>
    </row>
  </sheetData>
  <phoneticPr fontId="3"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16C3A-971F-48A5-B636-325F8360731B}">
  <dimension ref="A1:C7"/>
  <sheetViews>
    <sheetView zoomScale="116" workbookViewId="0"/>
  </sheetViews>
  <sheetFormatPr baseColWidth="10" defaultRowHeight="14.4" x14ac:dyDescent="0.3"/>
  <cols>
    <col min="1" max="1" width="21.44140625" bestFit="1" customWidth="1"/>
    <col min="2" max="2" width="18" bestFit="1" customWidth="1"/>
    <col min="3" max="3" width="11.21875" bestFit="1" customWidth="1"/>
  </cols>
  <sheetData>
    <row r="1" spans="1:3" x14ac:dyDescent="0.3">
      <c r="A1" t="s">
        <v>79</v>
      </c>
      <c r="B1" t="s">
        <v>80</v>
      </c>
      <c r="C1" t="s">
        <v>81</v>
      </c>
    </row>
    <row r="2" spans="1:3" x14ac:dyDescent="0.3">
      <c r="A2" t="s">
        <v>22</v>
      </c>
      <c r="B2" t="s">
        <v>67</v>
      </c>
      <c r="C2" t="s">
        <v>68</v>
      </c>
    </row>
    <row r="3" spans="1:3" x14ac:dyDescent="0.3">
      <c r="A3" t="s">
        <v>26</v>
      </c>
      <c r="B3" t="s">
        <v>69</v>
      </c>
      <c r="C3" t="s">
        <v>70</v>
      </c>
    </row>
    <row r="4" spans="1:3" x14ac:dyDescent="0.3">
      <c r="A4" t="s">
        <v>43</v>
      </c>
      <c r="B4" t="s">
        <v>71</v>
      </c>
      <c r="C4" t="s">
        <v>72</v>
      </c>
    </row>
    <row r="5" spans="1:3" x14ac:dyDescent="0.3">
      <c r="A5" t="s">
        <v>31</v>
      </c>
      <c r="B5" t="s">
        <v>73</v>
      </c>
      <c r="C5" t="s">
        <v>74</v>
      </c>
    </row>
    <row r="6" spans="1:3" x14ac:dyDescent="0.3">
      <c r="A6" t="s">
        <v>34</v>
      </c>
      <c r="B6" t="s">
        <v>75</v>
      </c>
      <c r="C6" t="s">
        <v>76</v>
      </c>
    </row>
    <row r="7" spans="1:3" x14ac:dyDescent="0.3">
      <c r="A7" t="s">
        <v>50</v>
      </c>
      <c r="B7" t="s">
        <v>77</v>
      </c>
      <c r="C7" t="s">
        <v>78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EF6EA-FFA6-4AFB-91E4-F5806AA5CE85}">
  <dimension ref="A1:E37"/>
  <sheetViews>
    <sheetView workbookViewId="0">
      <selection activeCell="C28" sqref="C28"/>
    </sheetView>
  </sheetViews>
  <sheetFormatPr baseColWidth="10" defaultRowHeight="14.4" x14ac:dyDescent="0.3"/>
  <cols>
    <col min="1" max="1" width="15.77734375" bestFit="1" customWidth="1"/>
    <col min="2" max="2" width="18.33203125" bestFit="1" customWidth="1"/>
    <col min="4" max="4" width="27.109375" bestFit="1" customWidth="1"/>
  </cols>
  <sheetData>
    <row r="1" spans="1:5" x14ac:dyDescent="0.3">
      <c r="A1" t="s">
        <v>19</v>
      </c>
      <c r="B1" t="s">
        <v>16</v>
      </c>
      <c r="C1" t="s">
        <v>87</v>
      </c>
      <c r="D1" t="s">
        <v>88</v>
      </c>
    </row>
    <row r="2" spans="1:5" x14ac:dyDescent="0.3">
      <c r="A2" t="s">
        <v>24</v>
      </c>
      <c r="B2" t="s">
        <v>22</v>
      </c>
      <c r="C2" s="1">
        <v>46204</v>
      </c>
      <c r="D2">
        <v>97500</v>
      </c>
    </row>
    <row r="3" spans="1:5" x14ac:dyDescent="0.3">
      <c r="A3" t="s">
        <v>27</v>
      </c>
      <c r="B3" t="s">
        <v>26</v>
      </c>
      <c r="C3" s="1">
        <v>46205</v>
      </c>
      <c r="D3">
        <v>110000</v>
      </c>
    </row>
    <row r="4" spans="1:5" x14ac:dyDescent="0.3">
      <c r="A4" t="s">
        <v>29</v>
      </c>
      <c r="B4" t="s">
        <v>43</v>
      </c>
      <c r="C4" s="1">
        <v>46206</v>
      </c>
      <c r="D4">
        <v>122500</v>
      </c>
    </row>
    <row r="5" spans="1:5" x14ac:dyDescent="0.3">
      <c r="A5" t="s">
        <v>32</v>
      </c>
      <c r="B5" t="s">
        <v>31</v>
      </c>
      <c r="C5" s="1">
        <v>46207</v>
      </c>
      <c r="D5">
        <v>135000</v>
      </c>
    </row>
    <row r="6" spans="1:5" x14ac:dyDescent="0.3">
      <c r="A6" t="s">
        <v>35</v>
      </c>
      <c r="B6" t="s">
        <v>34</v>
      </c>
      <c r="C6" s="1">
        <v>46208</v>
      </c>
      <c r="D6">
        <v>147500</v>
      </c>
    </row>
    <row r="7" spans="1:5" x14ac:dyDescent="0.3">
      <c r="A7" t="s">
        <v>37</v>
      </c>
      <c r="B7" t="s">
        <v>50</v>
      </c>
      <c r="C7" s="1">
        <v>46209</v>
      </c>
      <c r="D7">
        <v>160000</v>
      </c>
    </row>
    <row r="8" spans="1:5" x14ac:dyDescent="0.3">
      <c r="A8" t="s">
        <v>39</v>
      </c>
      <c r="B8" t="s">
        <v>22</v>
      </c>
      <c r="C8" s="1">
        <v>46210</v>
      </c>
      <c r="D8">
        <v>172500</v>
      </c>
    </row>
    <row r="9" spans="1:5" x14ac:dyDescent="0.3">
      <c r="A9" t="s">
        <v>41</v>
      </c>
      <c r="B9" t="s">
        <v>26</v>
      </c>
      <c r="C9" s="1">
        <v>46211</v>
      </c>
      <c r="D9">
        <v>185000</v>
      </c>
    </row>
    <row r="10" spans="1:5" x14ac:dyDescent="0.3">
      <c r="A10" t="s">
        <v>44</v>
      </c>
      <c r="B10" t="s">
        <v>43</v>
      </c>
      <c r="C10" s="1">
        <v>46212</v>
      </c>
      <c r="D10">
        <v>197500</v>
      </c>
    </row>
    <row r="11" spans="1:5" x14ac:dyDescent="0.3">
      <c r="A11" t="s">
        <v>46</v>
      </c>
      <c r="B11" t="s">
        <v>31</v>
      </c>
      <c r="C11" s="1">
        <v>46213</v>
      </c>
      <c r="D11">
        <v>210000</v>
      </c>
      <c r="E11" s="2"/>
    </row>
    <row r="12" spans="1:5" x14ac:dyDescent="0.3">
      <c r="A12" t="s">
        <v>48</v>
      </c>
      <c r="B12" t="s">
        <v>34</v>
      </c>
      <c r="C12" s="1">
        <v>46214</v>
      </c>
      <c r="D12">
        <v>222500</v>
      </c>
    </row>
    <row r="13" spans="1:5" x14ac:dyDescent="0.3">
      <c r="A13" t="s">
        <v>51</v>
      </c>
      <c r="B13" t="s">
        <v>50</v>
      </c>
      <c r="C13" s="1">
        <v>46215</v>
      </c>
      <c r="D13">
        <v>235000</v>
      </c>
    </row>
    <row r="14" spans="1:5" x14ac:dyDescent="0.3">
      <c r="A14" t="s">
        <v>89</v>
      </c>
      <c r="B14" t="s">
        <v>22</v>
      </c>
      <c r="C14" s="1">
        <v>46235</v>
      </c>
      <c r="D14">
        <v>102500</v>
      </c>
    </row>
    <row r="15" spans="1:5" x14ac:dyDescent="0.3">
      <c r="A15" t="s">
        <v>90</v>
      </c>
      <c r="B15" t="s">
        <v>26</v>
      </c>
      <c r="C15" s="1">
        <v>46236</v>
      </c>
      <c r="D15">
        <v>115000</v>
      </c>
    </row>
    <row r="16" spans="1:5" x14ac:dyDescent="0.3">
      <c r="A16" t="s">
        <v>91</v>
      </c>
      <c r="B16" t="s">
        <v>43</v>
      </c>
      <c r="C16" s="1">
        <v>46237</v>
      </c>
      <c r="D16">
        <v>127500</v>
      </c>
    </row>
    <row r="17" spans="1:4" x14ac:dyDescent="0.3">
      <c r="A17" t="s">
        <v>92</v>
      </c>
      <c r="B17" t="s">
        <v>31</v>
      </c>
      <c r="C17" s="1">
        <v>46238</v>
      </c>
      <c r="D17">
        <v>140000</v>
      </c>
    </row>
    <row r="18" spans="1:4" x14ac:dyDescent="0.3">
      <c r="A18" t="s">
        <v>93</v>
      </c>
      <c r="B18" t="s">
        <v>34</v>
      </c>
      <c r="C18" s="1">
        <v>46239</v>
      </c>
      <c r="D18">
        <v>152500</v>
      </c>
    </row>
    <row r="19" spans="1:4" x14ac:dyDescent="0.3">
      <c r="A19" t="s">
        <v>94</v>
      </c>
      <c r="B19" t="s">
        <v>50</v>
      </c>
      <c r="C19" s="1">
        <v>46240</v>
      </c>
      <c r="D19">
        <v>165000</v>
      </c>
    </row>
    <row r="20" spans="1:4" x14ac:dyDescent="0.3">
      <c r="A20" t="s">
        <v>95</v>
      </c>
      <c r="B20" t="s">
        <v>22</v>
      </c>
      <c r="C20" s="1">
        <v>46241</v>
      </c>
      <c r="D20">
        <v>177500</v>
      </c>
    </row>
    <row r="21" spans="1:4" x14ac:dyDescent="0.3">
      <c r="A21" t="s">
        <v>96</v>
      </c>
      <c r="B21" t="s">
        <v>26</v>
      </c>
      <c r="C21" s="1">
        <v>46242</v>
      </c>
      <c r="D21">
        <v>190000</v>
      </c>
    </row>
    <row r="22" spans="1:4" x14ac:dyDescent="0.3">
      <c r="A22" t="s">
        <v>97</v>
      </c>
      <c r="B22" t="s">
        <v>43</v>
      </c>
      <c r="C22" s="1">
        <v>46243</v>
      </c>
      <c r="D22">
        <v>202500</v>
      </c>
    </row>
    <row r="23" spans="1:4" x14ac:dyDescent="0.3">
      <c r="A23" t="s">
        <v>98</v>
      </c>
      <c r="B23" t="s">
        <v>31</v>
      </c>
      <c r="C23" s="1">
        <v>46244</v>
      </c>
      <c r="D23">
        <v>215000</v>
      </c>
    </row>
    <row r="24" spans="1:4" x14ac:dyDescent="0.3">
      <c r="A24" t="s">
        <v>99</v>
      </c>
      <c r="B24" t="s">
        <v>34</v>
      </c>
      <c r="C24" s="1">
        <v>46245</v>
      </c>
      <c r="D24">
        <v>227500</v>
      </c>
    </row>
    <row r="25" spans="1:4" x14ac:dyDescent="0.3">
      <c r="A25" t="s">
        <v>100</v>
      </c>
      <c r="B25" t="s">
        <v>50</v>
      </c>
      <c r="C25" s="1">
        <v>46246</v>
      </c>
      <c r="D25">
        <v>240000</v>
      </c>
    </row>
    <row r="26" spans="1:4" x14ac:dyDescent="0.3">
      <c r="A26" t="s">
        <v>101</v>
      </c>
      <c r="B26" t="s">
        <v>22</v>
      </c>
      <c r="C26" s="1">
        <v>46266</v>
      </c>
      <c r="D26">
        <v>107500</v>
      </c>
    </row>
    <row r="27" spans="1:4" x14ac:dyDescent="0.3">
      <c r="A27" t="s">
        <v>102</v>
      </c>
      <c r="B27" t="s">
        <v>26</v>
      </c>
      <c r="C27" s="1">
        <v>46267</v>
      </c>
      <c r="D27">
        <v>120000</v>
      </c>
    </row>
    <row r="28" spans="1:4" x14ac:dyDescent="0.3">
      <c r="A28" t="s">
        <v>103</v>
      </c>
      <c r="B28" t="s">
        <v>43</v>
      </c>
      <c r="C28" s="1">
        <v>46268</v>
      </c>
      <c r="D28">
        <v>132500</v>
      </c>
    </row>
    <row r="29" spans="1:4" x14ac:dyDescent="0.3">
      <c r="A29" t="s">
        <v>104</v>
      </c>
      <c r="B29" t="s">
        <v>31</v>
      </c>
      <c r="C29" s="1">
        <v>46269</v>
      </c>
      <c r="D29">
        <v>145000</v>
      </c>
    </row>
    <row r="30" spans="1:4" x14ac:dyDescent="0.3">
      <c r="A30" t="s">
        <v>105</v>
      </c>
      <c r="B30" t="s">
        <v>34</v>
      </c>
      <c r="C30" s="1">
        <v>46270</v>
      </c>
      <c r="D30">
        <v>157500</v>
      </c>
    </row>
    <row r="31" spans="1:4" x14ac:dyDescent="0.3">
      <c r="A31" t="s">
        <v>106</v>
      </c>
      <c r="B31" t="s">
        <v>50</v>
      </c>
      <c r="C31" s="1">
        <v>46271</v>
      </c>
      <c r="D31">
        <v>170000</v>
      </c>
    </row>
    <row r="32" spans="1:4" x14ac:dyDescent="0.3">
      <c r="A32" t="s">
        <v>107</v>
      </c>
      <c r="B32" t="s">
        <v>22</v>
      </c>
      <c r="C32" s="1">
        <v>46272</v>
      </c>
      <c r="D32">
        <v>182500</v>
      </c>
    </row>
    <row r="33" spans="1:4" x14ac:dyDescent="0.3">
      <c r="A33" t="s">
        <v>108</v>
      </c>
      <c r="B33" t="s">
        <v>26</v>
      </c>
      <c r="C33" s="1">
        <v>46273</v>
      </c>
      <c r="D33">
        <v>195000</v>
      </c>
    </row>
    <row r="34" spans="1:4" x14ac:dyDescent="0.3">
      <c r="A34" t="s">
        <v>109</v>
      </c>
      <c r="B34" t="s">
        <v>43</v>
      </c>
      <c r="C34" s="1">
        <v>46274</v>
      </c>
      <c r="D34">
        <v>207500</v>
      </c>
    </row>
    <row r="35" spans="1:4" x14ac:dyDescent="0.3">
      <c r="A35" t="s">
        <v>110</v>
      </c>
      <c r="B35" t="s">
        <v>31</v>
      </c>
      <c r="C35" s="1">
        <v>46275</v>
      </c>
      <c r="D35">
        <v>220000</v>
      </c>
    </row>
    <row r="36" spans="1:4" x14ac:dyDescent="0.3">
      <c r="A36" t="s">
        <v>111</v>
      </c>
      <c r="B36" t="s">
        <v>34</v>
      </c>
      <c r="C36" s="1">
        <v>46276</v>
      </c>
      <c r="D36">
        <v>232500</v>
      </c>
    </row>
    <row r="37" spans="1:4" x14ac:dyDescent="0.3">
      <c r="A37" t="s">
        <v>112</v>
      </c>
      <c r="B37" t="s">
        <v>50</v>
      </c>
      <c r="C37" s="1">
        <v>46277</v>
      </c>
      <c r="D37">
        <v>245000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FFCA9-0228-491D-A4F8-CE0706FFFB7B}">
  <dimension ref="A1"/>
  <sheetViews>
    <sheetView workbookViewId="0"/>
  </sheetViews>
  <sheetFormatPr baseColWidth="10" defaultRowHeight="14.4" x14ac:dyDescent="0.3"/>
  <sheetData/>
  <pageMargins left="0.7" right="0.7" top="0.75" bottom="0.75" header="0.3" footer="0.3"/>
  <headerFooter>
    <oddFooter>&amp;C_x000D_&amp;1#&amp;"Aptos"&amp;10&amp;K000000 OXXO | Uso Interno</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B3CD07-3B43-4A84-A999-C15394302237}">
  <ds:schemaRefs>
    <ds:schemaRef ds:uri="http://schemas.microsoft.com/DataMashup"/>
  </ds:schemaRefs>
</ds:datastoreItem>
</file>

<file path=docMetadata/LabelInfo.xml><?xml version="1.0" encoding="utf-8"?>
<clbl:labelList xmlns:clbl="http://schemas.microsoft.com/office/2020/mipLabelMetadata">
  <clbl:label id="{08c64559-49c6-47cf-865f-da0233616f0f}" enabled="1" method="Standard" siteId="{66f9ab85-de1a-40d4-b7bb-21565ad57cc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LEEME</vt:lpstr>
      <vt:lpstr>Hoja2</vt:lpstr>
      <vt:lpstr>Hoja3</vt:lpstr>
      <vt:lpstr>Hoja4</vt:lpstr>
      <vt:lpstr>INTRUCCIONES</vt:lpstr>
      <vt:lpstr>RESUMEN</vt:lpstr>
      <vt:lpstr>Control_Facturas</vt:lpstr>
      <vt:lpstr>Conteo_documentos</vt:lpstr>
      <vt:lpstr>Facturas_Consolidadas</vt:lpstr>
      <vt:lpstr>Facturas_Julio</vt:lpstr>
      <vt:lpstr>Proveedores</vt:lpstr>
      <vt:lpstr>Ordenes_Compra</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Briceño Jimenez</dc:creator>
  <cp:lastModifiedBy>Javier Briceño Jimenez</cp:lastModifiedBy>
  <dcterms:created xsi:type="dcterms:W3CDTF">2026-10-21T15:16:57Z</dcterms:created>
  <dcterms:modified xsi:type="dcterms:W3CDTF">2026-10-25T04:08:20Z</dcterms:modified>
</cp:coreProperties>
</file>